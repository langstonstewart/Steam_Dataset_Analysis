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imelineCaches/timelineCache3.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timelines/timeline2.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slicers/slicer3.xml" ContentType="application/vnd.ms-excel.slicer+xml"/>
  <Override PartName="/xl/timelines/timeline3.xml" ContentType="application/vnd.ms-excel.timelin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8.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langs\OneDrive\Desktop\Projects\excel_git\steam_db_analysis\"/>
    </mc:Choice>
  </mc:AlternateContent>
  <xr:revisionPtr revIDLastSave="0" documentId="13_ncr:1_{A99F9CF0-B762-483A-993B-C55A4ECD2782}" xr6:coauthVersionLast="47" xr6:coauthVersionMax="47" xr10:uidLastSave="{00000000-0000-0000-0000-000000000000}"/>
  <bookViews>
    <workbookView xWindow="-120" yWindow="-120" windowWidth="38640" windowHeight="21840" tabRatio="681" firstSheet="2" activeTab="2" xr2:uid="{CBAA775F-6D14-45F0-81A9-CEB0A485543C}"/>
  </bookViews>
  <sheets>
    <sheet name="steam_db_table" sheetId="1" state="hidden" r:id="rId1"/>
    <sheet name="db_data" sheetId="10" state="hidden" r:id="rId2"/>
    <sheet name="Steam_Dataset_Dashboard" sheetId="11" r:id="rId3"/>
    <sheet name="Steam Games by Popularity" sheetId="8" r:id="rId4"/>
    <sheet name="Top 15 Free Vs. Paid" sheetId="2" r:id="rId5"/>
    <sheet name="Genre Popularity" sheetId="3" r:id="rId6"/>
    <sheet name="Game Count Each Year" sheetId="12" r:id="rId7"/>
    <sheet name="Game Price Each Year" sheetId="4" r:id="rId8"/>
    <sheet name="Most Reviewed Games" sheetId="6" r:id="rId9"/>
    <sheet name="Game Price by Dev" sheetId="7" r:id="rId10"/>
  </sheets>
  <definedNames>
    <definedName name="ExternalData_1" localSheetId="0" hidden="1">steam_db_table!$A$1:$P$1001</definedName>
    <definedName name="Slicer_free_or_paid">#N/A</definedName>
    <definedName name="Slicer_free_or_paid1">#N/A</definedName>
    <definedName name="Slicer_free_or_paid2">#N/A</definedName>
    <definedName name="Slicer_genre">#N/A</definedName>
    <definedName name="Timeline_Date">#N/A</definedName>
    <definedName name="Timeline_Date1">#N/A</definedName>
    <definedName name="Timeline_releasedate">#N/A</definedName>
  </definedNames>
  <calcPr calcId="191029"/>
  <pivotCaches>
    <pivotCache cacheId="91" r:id="rId11"/>
    <pivotCache cacheId="92" r:id="rId12"/>
    <pivotCache cacheId="93" r:id="rId13"/>
    <pivotCache cacheId="94" r:id="rId14"/>
    <pivotCache cacheId="95" r:id="rId15"/>
    <pivotCache cacheId="96" r:id="rId16"/>
    <pivotCache cacheId="97" r:id="rId17"/>
    <pivotCache cacheId="98" r:id="rId18"/>
    <pivotCache cacheId="252" r:id="rId19"/>
  </pivotCaches>
  <extLst>
    <ext xmlns:x14="http://schemas.microsoft.com/office/spreadsheetml/2009/9/main" uri="{876F7934-8845-4945-9796-88D515C7AA90}">
      <x14:pivotCaches>
        <pivotCache cacheId="100" r:id="rId20"/>
        <pivotCache cacheId="101" r:id="rId21"/>
        <pivotCache cacheId="102" r:id="rId22"/>
      </x14:pivotCaches>
    </ext>
    <ext xmlns:x14="http://schemas.microsoft.com/office/spreadsheetml/2009/9/main" uri="{BBE1A952-AA13-448e-AADC-164F8A28A991}">
      <x14:slicerCaches>
        <x14:slicerCache r:id="rId23"/>
        <x14:slicerCache r:id="rId24"/>
        <x14:slicerCache r:id="rId25"/>
        <x14:slicerCache r:id="rId26"/>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03" r:id="rId27"/>
        <pivotCache cacheId="104" r:id="rId28"/>
        <pivotCache cacheId="105" r:id="rId29"/>
      </x15:timelineCachePivotCaches>
    </ext>
    <ext xmlns:x15="http://schemas.microsoft.com/office/spreadsheetml/2010/11/main" uri="{D0CA8CA8-9F24-4464-BF8E-62219DCF47F9}">
      <x15:timelineCacheRefs>
        <x15:timelineCacheRef r:id="rId30"/>
        <x15:timelineCacheRef r:id="rId31"/>
        <x15:timelineCacheRef r:id="rId32"/>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team_app_database_ee695e7a-f73e-4e10-8679-7b93246651da" name="steam_app_database" connection="Query - steam_app_database"/>
          <x15:modelTable id="Calendar" name="release_calendar" connection="Connection"/>
        </x15:modelTables>
        <x15:modelRelationships>
          <x15:modelRelationship fromTable="steam_app_database" fromColumn="releasedate" toTable="release_calendar"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2" i="2" l="1" a="1"/>
  <c r="C2" i="2" s="1"/>
  <c r="B20" i="10"/>
  <c r="D1" i="10" a="1"/>
  <c r="D1" i="10" s="1"/>
  <c r="B22" i="10" l="1" a="1"/>
  <c r="B22" i="10" s="1"/>
  <c r="B24"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411EDF4-F2D5-4BC2-991D-7A5962654A62}" name="Connection" type="104" refreshedVersion="0" background="1">
    <extLst>
      <ext xmlns:x15="http://schemas.microsoft.com/office/spreadsheetml/2010/11/main" uri="{DE250136-89BD-433C-8126-D09CA5730AF9}">
        <x15:connection id="Calendar"/>
      </ext>
    </extLst>
  </connection>
  <connection id="2" xr16:uid="{D6BCC185-10E1-41C8-A769-81ADBAA27E5D}" keepAlive="1" name="ModelConnection_ExternalData_1" description="Data Model" type="5" refreshedVersion="8" minRefreshableVersion="5" saveData="1">
    <dbPr connection="Data Model Connection" command="steam_app_database" commandType="3"/>
    <extLst>
      <ext xmlns:x15="http://schemas.microsoft.com/office/spreadsheetml/2010/11/main" uri="{DE250136-89BD-433C-8126-D09CA5730AF9}">
        <x15:connection id="" model="1"/>
      </ext>
    </extLst>
  </connection>
  <connection id="3" xr16:uid="{534F3A3A-4709-44A0-808F-98E25BE8B320}" name="Query - steam_app_database" description="Connection to the 'steam_app_database' query in the workbook." type="100" refreshedVersion="8" minRefreshableVersion="5">
    <extLst>
      <ext xmlns:x15="http://schemas.microsoft.com/office/spreadsheetml/2010/11/main" uri="{DE250136-89BD-433C-8126-D09CA5730AF9}">
        <x15:connection id="d875acba-298c-4914-9dab-e49740242c04"/>
      </ext>
    </extLst>
  </connection>
  <connection id="4" xr16:uid="{28D59CB2-6197-486D-8063-B2A4AE0DF2E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<sst xmlns="http://schemas.openxmlformats.org/spreadsheetml/2006/main" count="8156" uniqueCount="2899">
  <si>
    <t>007 First Light</t>
  </si>
  <si>
    <t>7 Days to Die</t>
  </si>
  <si>
    <t>9 Kings</t>
  </si>
  <si>
    <t>A Plague Tale: Innocence</t>
  </si>
  <si>
    <t>A Total War Saga: THRONES OF BRITANNIA</t>
  </si>
  <si>
    <t>Abiotic Factor</t>
  </si>
  <si>
    <t>ACE COMBAT™ 7: SKIES UNKNOWN</t>
  </si>
  <si>
    <t>Across the Obelisk</t>
  </si>
  <si>
    <t>AdVenture Capitalist</t>
  </si>
  <si>
    <t>Against the Storm</t>
  </si>
  <si>
    <t>Age of Empires II (Retired)</t>
  </si>
  <si>
    <t>Age of Empires II: Definitive Edition</t>
  </si>
  <si>
    <t>Age of Empires III: Definitive Edition</t>
  </si>
  <si>
    <t>Age of Empires IV: Anniversary Edition</t>
  </si>
  <si>
    <t>Age of Mythology: Extended Edition</t>
  </si>
  <si>
    <t>Age of Mythology: Retold</t>
  </si>
  <si>
    <t>Age of Wonders 4</t>
  </si>
  <si>
    <t>Ages of Conflict: World War Simulator</t>
  </si>
  <si>
    <t>Aimlabs</t>
  </si>
  <si>
    <t>Albion Online</t>
  </si>
  <si>
    <t>Alien: Isolation</t>
  </si>
  <si>
    <t>Amarillo's Butt Slapper</t>
  </si>
  <si>
    <t>American Truck Simulator</t>
  </si>
  <si>
    <t>Among Us</t>
  </si>
  <si>
    <t>Angels Online Global</t>
  </si>
  <si>
    <t>Anno 117: Pax Romana</t>
  </si>
  <si>
    <t>Anno 1800</t>
  </si>
  <si>
    <t>Antimatter Dimensions</t>
  </si>
  <si>
    <t>Apex Legends™</t>
  </si>
  <si>
    <t>ARC Raiders</t>
  </si>
  <si>
    <t>Arena Breakout: Infinite</t>
  </si>
  <si>
    <t>ARK: Survival Ascended</t>
  </si>
  <si>
    <t>ARK: Survival Evolved</t>
  </si>
  <si>
    <t>Arma 3</t>
  </si>
  <si>
    <t>Arma Reforger</t>
  </si>
  <si>
    <t>ARMORED CORE™ VI FIRES OF RUBICON™</t>
  </si>
  <si>
    <t>Artifact</t>
  </si>
  <si>
    <t>Aseprite</t>
  </si>
  <si>
    <t>ASKA</t>
  </si>
  <si>
    <t>Asphalt Legends</t>
  </si>
  <si>
    <t>Assassin’s Creed Shadows</t>
  </si>
  <si>
    <t>Assassin’s Creed® IV Black Flag™</t>
  </si>
  <si>
    <t>Assassin's Creed Black Flag Resynced</t>
  </si>
  <si>
    <t>Assassin's Creed Valhalla</t>
  </si>
  <si>
    <t>Assassin's Creed® Odyssey</t>
  </si>
  <si>
    <t>Assassin's Creed® Origins</t>
  </si>
  <si>
    <t>Assassin's Creed® Unity</t>
  </si>
  <si>
    <t>Assetto Corsa</t>
  </si>
  <si>
    <t>Assetto Corsa Competizione</t>
  </si>
  <si>
    <t>Assetto Corsa EVO</t>
  </si>
  <si>
    <t>Astral Party</t>
  </si>
  <si>
    <t>ASTRONEER</t>
  </si>
  <si>
    <t>Atomic Heart</t>
  </si>
  <si>
    <t>Automobilista 2</t>
  </si>
  <si>
    <t>Avatar: Frontiers of Pandora™</t>
  </si>
  <si>
    <t>Avowed</t>
  </si>
  <si>
    <t>Back 4 Blood</t>
  </si>
  <si>
    <t>Backpack Battles</t>
  </si>
  <si>
    <t>Backrooms: Escape Together</t>
  </si>
  <si>
    <t>Bacteria</t>
  </si>
  <si>
    <t>Balatro</t>
  </si>
  <si>
    <t>Baldur's Gate 3</t>
  </si>
  <si>
    <t>BALL x PIT</t>
  </si>
  <si>
    <t>Banana</t>
  </si>
  <si>
    <t>Banished</t>
  </si>
  <si>
    <t>Barony</t>
  </si>
  <si>
    <t>Barotrauma</t>
  </si>
  <si>
    <t>Batman: Arkham City - Game of the Year Edition</t>
  </si>
  <si>
    <t>Batman™: Arkham Knight</t>
  </si>
  <si>
    <t>Batman™: Arkham Origins</t>
  </si>
  <si>
    <t>Battle Brothers</t>
  </si>
  <si>
    <t>BattleBit Remastered</t>
  </si>
  <si>
    <t>Battlefield 4™</t>
  </si>
  <si>
    <t>Battlefield™ 1</t>
  </si>
  <si>
    <t>Battlefield™ 2042</t>
  </si>
  <si>
    <t>Battlefield™ 6</t>
  </si>
  <si>
    <t>Battlefield™ V</t>
  </si>
  <si>
    <t>BATTLETECH</t>
  </si>
  <si>
    <t>BeamNG.drive</t>
  </si>
  <si>
    <t>Bellwright</t>
  </si>
  <si>
    <t>Besiege</t>
  </si>
  <si>
    <t>BidKing</t>
  </si>
  <si>
    <t>Big Ambitions</t>
  </si>
  <si>
    <t>BioShock Infinite</t>
  </si>
  <si>
    <t>Black Desert</t>
  </si>
  <si>
    <t>Black Myth: Wukong</t>
  </si>
  <si>
    <t>Blasphemous</t>
  </si>
  <si>
    <t>Blasphemous 2</t>
  </si>
  <si>
    <t>BlazBlue Entropy Effect</t>
  </si>
  <si>
    <t>BLEACH Brave Souls</t>
  </si>
  <si>
    <t>Blender</t>
  </si>
  <si>
    <t>Blood Strike</t>
  </si>
  <si>
    <t>Bloons TD 6</t>
  </si>
  <si>
    <t>Bloons TD Battles 2</t>
  </si>
  <si>
    <t>Blue Archive</t>
  </si>
  <si>
    <t>Blue Prince</t>
  </si>
  <si>
    <t>Blue Protocol: Star Resonance</t>
  </si>
  <si>
    <t>Bodycam</t>
  </si>
  <si>
    <t>BOMBANANA! Demo</t>
  </si>
  <si>
    <t>BONELAB</t>
  </si>
  <si>
    <t>Bongo Cat</t>
  </si>
  <si>
    <t>Bongo Waifu</t>
  </si>
  <si>
    <t>Borderlands 2</t>
  </si>
  <si>
    <t>Borderlands 3</t>
  </si>
  <si>
    <t>Borderlands 4</t>
  </si>
  <si>
    <t>Borderlands Game of the Year Enhanced</t>
  </si>
  <si>
    <t>Brawlhalla</t>
  </si>
  <si>
    <t>Brick Rigs</t>
  </si>
  <si>
    <t>Broken Arrow</t>
  </si>
  <si>
    <t>Brotato</t>
  </si>
  <si>
    <t>Buckshot Roulette</t>
  </si>
  <si>
    <t>Burglin' Gnomes</t>
  </si>
  <si>
    <t>Business Tour - Board Game with Online Multiplayer(大富翁)</t>
  </si>
  <si>
    <t>Cairn</t>
  </si>
  <si>
    <t>Caliber</t>
  </si>
  <si>
    <t>Call of Duty: Black Ops II - Zombies</t>
  </si>
  <si>
    <t>Call of Duty®</t>
  </si>
  <si>
    <t>Call of Duty®: Black Ops</t>
  </si>
  <si>
    <t>Call of Duty®: Black Ops 6</t>
  </si>
  <si>
    <t>Call of Duty®: Black Ops II</t>
  </si>
  <si>
    <t>Call of Duty®: Black Ops III</t>
  </si>
  <si>
    <t>Call of Duty®: Modern Warfare®</t>
  </si>
  <si>
    <t>Call of Duty®: Modern Warfare® 2 (2009)</t>
  </si>
  <si>
    <t>Call of Duty®: Modern Warfare® 3 (2011)</t>
  </si>
  <si>
    <t>Call of Duty®: Modern Warfare® II</t>
  </si>
  <si>
    <t>Call of Duty®: Modern Warfare® III</t>
  </si>
  <si>
    <t>Call to Arms - Gates of Hell: Ostfront</t>
  </si>
  <si>
    <t>Captain of Industry</t>
  </si>
  <si>
    <t>Car Mechanic Simulator 2018</t>
  </si>
  <si>
    <t>Car Mechanic Simulator 2021</t>
  </si>
  <si>
    <t>CarX Drift Racing Online</t>
  </si>
  <si>
    <t>Cash Cleaner Simulator</t>
  </si>
  <si>
    <t>Castle Crashers®</t>
  </si>
  <si>
    <t>Casualties: Unknown Demo</t>
  </si>
  <si>
    <t>Cat Mail Co.</t>
  </si>
  <si>
    <t>Catan Universe</t>
  </si>
  <si>
    <t>Cats</t>
  </si>
  <si>
    <t>Celeste</t>
  </si>
  <si>
    <t>Cell to Singularity - Evolution Never Ends</t>
  </si>
  <si>
    <t>Chained Together</t>
  </si>
  <si>
    <t>Chill with You : Lo-Fi Story</t>
  </si>
  <si>
    <t>Chivalry 2</t>
  </si>
  <si>
    <t>Cities: Skylines</t>
  </si>
  <si>
    <t>Cities: Skylines II</t>
  </si>
  <si>
    <t>Civilization IV: Beyond the Sword</t>
  </si>
  <si>
    <t>Clair Obscur: Expedition 33</t>
  </si>
  <si>
    <t>Clicker Heroes</t>
  </si>
  <si>
    <t>CloverPit</t>
  </si>
  <si>
    <t>CODE VEIN</t>
  </si>
  <si>
    <t>Combat Master: Season 5</t>
  </si>
  <si>
    <t>Command &amp; Conquer Red Alert™ 2 and Yuri’s Revenge™</t>
  </si>
  <si>
    <t>Command &amp; Conquer™ Generals Zero Hour</t>
  </si>
  <si>
    <t>Command &amp; Conquer™ Remastered Collection</t>
  </si>
  <si>
    <t>Company of Heroes</t>
  </si>
  <si>
    <t>Company of Heroes 2</t>
  </si>
  <si>
    <t>Company of Heroes 3</t>
  </si>
  <si>
    <t>Conan Exiles Enhanced</t>
  </si>
  <si>
    <t>Conqueror's Blade</t>
  </si>
  <si>
    <t>Construction Simulator</t>
  </si>
  <si>
    <t>Content Warning</t>
  </si>
  <si>
    <t>Cookie Clicker</t>
  </si>
  <si>
    <t>Coral Island</t>
  </si>
  <si>
    <t>Core Keeper</t>
  </si>
  <si>
    <t>Cosmoteer: Starship Architect &amp; Commander</t>
  </si>
  <si>
    <t>Cossacks 3</t>
  </si>
  <si>
    <t>Counter-Strike</t>
  </si>
  <si>
    <t>Counter-Strike 2</t>
  </si>
  <si>
    <t>Counter-Strike: Condition Zero</t>
  </si>
  <si>
    <t>Counter-Strike: Source</t>
  </si>
  <si>
    <t>Counter-Strike:Global Offensive</t>
  </si>
  <si>
    <t>Crab Game</t>
  </si>
  <si>
    <t>Crime Scene Cleaner</t>
  </si>
  <si>
    <t>Crimson Desert</t>
  </si>
  <si>
    <t>Crosshair V2</t>
  </si>
  <si>
    <t>Crosshair X</t>
  </si>
  <si>
    <t>Crossout</t>
  </si>
  <si>
    <t>Crusader Kings II</t>
  </si>
  <si>
    <t>Crusader Kings III</t>
  </si>
  <si>
    <t>Cube Racer</t>
  </si>
  <si>
    <t>Cult of the Lamb</t>
  </si>
  <si>
    <t>Cuphead</t>
  </si>
  <si>
    <t>Cyberpunk 2077</t>
  </si>
  <si>
    <t>Danganronpa: Trigger Happy Havoc</t>
  </si>
  <si>
    <t>Dark and Darker</t>
  </si>
  <si>
    <t>DARK SOULS™ II: Scholar of the First Sin</t>
  </si>
  <si>
    <t>DARK SOULS™ III</t>
  </si>
  <si>
    <t>DARK SOULS™: REMASTERED</t>
  </si>
  <si>
    <t>Darkest Dungeon®</t>
  </si>
  <si>
    <t>Darkest Dungeon® II</t>
  </si>
  <si>
    <t>Date Everything!</t>
  </si>
  <si>
    <t>DAVE THE DIVER</t>
  </si>
  <si>
    <t>Dawn of Man</t>
  </si>
  <si>
    <t>Days Gone</t>
  </si>
  <si>
    <t>DayZ</t>
  </si>
  <si>
    <t>DC Universe™ Online</t>
  </si>
  <si>
    <t>DDNet</t>
  </si>
  <si>
    <t>Dead by Daylight</t>
  </si>
  <si>
    <t>Dead Cells</t>
  </si>
  <si>
    <t>Dead Frontier 2</t>
  </si>
  <si>
    <t>Dead Island 2</t>
  </si>
  <si>
    <t>Dead Space</t>
  </si>
  <si>
    <t>Deadlock</t>
  </si>
  <si>
    <t>DEATH STRANDING 2: ON THE BEACH</t>
  </si>
  <si>
    <t>DEATH STRANDING DIRECTOR'S CUT</t>
  </si>
  <si>
    <t>Deep Rock Galactic</t>
  </si>
  <si>
    <t>Deep Rock Galactic: Rogue Core</t>
  </si>
  <si>
    <t>Deep Rock Galactic: Survivor</t>
  </si>
  <si>
    <t>Delta Force</t>
  </si>
  <si>
    <t>DELTARUNE</t>
  </si>
  <si>
    <t>DELTARUNE Demo</t>
  </si>
  <si>
    <t>Desktop Mate</t>
  </si>
  <si>
    <t>Destiny 2</t>
  </si>
  <si>
    <t>Destiny of Immortal</t>
  </si>
  <si>
    <t>Detroit: Become Human</t>
  </si>
  <si>
    <t>Devil May Cry 5</t>
  </si>
  <si>
    <t>Devil May Cry HD Collection</t>
  </si>
  <si>
    <t>DEVOUR</t>
  </si>
  <si>
    <t>Diablo II: Resurrected – Infernal Edition</t>
  </si>
  <si>
    <t>Diablo® IV</t>
  </si>
  <si>
    <t>Digimon Story Time Stranger</t>
  </si>
  <si>
    <t>Dinkum</t>
  </si>
  <si>
    <t>Disco Elysium - The Final Cut</t>
  </si>
  <si>
    <t>Dishonored</t>
  </si>
  <si>
    <t>Dishonored 2</t>
  </si>
  <si>
    <t>Disney Dreamlight Valley</t>
  </si>
  <si>
    <t>Dispatch</t>
  </si>
  <si>
    <t>Distant Space</t>
  </si>
  <si>
    <t>Divinity: Original Sin - Enhanced Edition</t>
  </si>
  <si>
    <t>Divinity: Original Sin 2 - Definitive Edition</t>
  </si>
  <si>
    <t>Don't Starve</t>
  </si>
  <si>
    <t>Don't Starve Together</t>
  </si>
  <si>
    <t>DOOM</t>
  </si>
  <si>
    <t>DOOM Eternal</t>
  </si>
  <si>
    <t>DOOM: The Dark Ages</t>
  </si>
  <si>
    <t>Dota 2</t>
  </si>
  <si>
    <t>Dota Underlords</t>
  </si>
  <si>
    <t>Dragon Age™: The Veilguard</t>
  </si>
  <si>
    <t>DRAGON BALL FighterZ</t>
  </si>
  <si>
    <t>DRAGON BALL GEKISHIN SQUADRA</t>
  </si>
  <si>
    <t>DRAGON BALL XENOVERSE 2</t>
  </si>
  <si>
    <t>DRAGON BALL Z: KAKAROT</t>
  </si>
  <si>
    <t>DRAGON BALL: Sparking! ZERO</t>
  </si>
  <si>
    <t>Dragon's Dogma 2</t>
  </si>
  <si>
    <t>Dragon's Dogma: Dark Arisen</t>
  </si>
  <si>
    <t>Draw &amp; Guess</t>
  </si>
  <si>
    <t>Dread Hunger</t>
  </si>
  <si>
    <t>DREDGE</t>
  </si>
  <si>
    <t>Drive Beyond Horizons</t>
  </si>
  <si>
    <t>DSX</t>
  </si>
  <si>
    <t>Dune: Awakening</t>
  </si>
  <si>
    <t>Dungeon Crusher: Soul Hunters</t>
  </si>
  <si>
    <t>Dungeon Defenders</t>
  </si>
  <si>
    <t>Dungeon Defenders II</t>
  </si>
  <si>
    <t>Dwarf Fortress</t>
  </si>
  <si>
    <t>Dying Light</t>
  </si>
  <si>
    <t>Dying Light 2 Stay Human: Reloaded Edition</t>
  </si>
  <si>
    <t>Dying Light: The Beast</t>
  </si>
  <si>
    <t>DYNASTY WARRIORS: ORIGINS</t>
  </si>
  <si>
    <t>Dyson Sphere Program</t>
  </si>
  <si>
    <t>EA SPORTS FC™ 24</t>
  </si>
  <si>
    <t>EA SPORTS FC™ 25</t>
  </si>
  <si>
    <t>EA SPORTS FC™ 26</t>
  </si>
  <si>
    <t>EA SPORTS™ College Football 27</t>
  </si>
  <si>
    <t>EA SPORTS™ FIFA 23</t>
  </si>
  <si>
    <t>EARTH DEFENSE FORCE 6</t>
  </si>
  <si>
    <t>Easy Red 2</t>
  </si>
  <si>
    <t>eBaseball™: PRO SPIRIT</t>
  </si>
  <si>
    <t>Echoes of Aincrad</t>
  </si>
  <si>
    <t>eFootball PES 2021 SEASON UPDATE</t>
  </si>
  <si>
    <t>eFootball™</t>
  </si>
  <si>
    <t>ELDEN RING</t>
  </si>
  <si>
    <t>ELDEN RING NIGHTREIGN</t>
  </si>
  <si>
    <t>Elin</t>
  </si>
  <si>
    <t>Elite Dangerous</t>
  </si>
  <si>
    <t>Empyrion - Galactic Survival</t>
  </si>
  <si>
    <t>ENDLESS Space™ 2</t>
  </si>
  <si>
    <t>Energy Cycle</t>
  </si>
  <si>
    <t>Enlisted</t>
  </si>
  <si>
    <t>Enshrouded</t>
  </si>
  <si>
    <t>Enter the Gungeon</t>
  </si>
  <si>
    <t>Escape From Duckov</t>
  </si>
  <si>
    <t>Escape from Tarkov</t>
  </si>
  <si>
    <t>Escape the Backrooms</t>
  </si>
  <si>
    <t>Esports Manager 2026</t>
  </si>
  <si>
    <t>Eternal Return</t>
  </si>
  <si>
    <t>Euro Truck Simulator 2</t>
  </si>
  <si>
    <t>Europa Universalis IV</t>
  </si>
  <si>
    <t>Europa Universalis V</t>
  </si>
  <si>
    <t>EVE Online</t>
  </si>
  <si>
    <t>Everwind</t>
  </si>
  <si>
    <t>Everything is Crab: The Animal Evolution Roguelite</t>
  </si>
  <si>
    <t>Evitania Online - Idle RPG</t>
  </si>
  <si>
    <t>F1® 24</t>
  </si>
  <si>
    <t>F1® 25</t>
  </si>
  <si>
    <t>F1® Manager 2024</t>
  </si>
  <si>
    <t>Factorio</t>
  </si>
  <si>
    <t>Fall Guys</t>
  </si>
  <si>
    <t>Fallout 3: Game of the Year Edition</t>
  </si>
  <si>
    <t>Fallout 4</t>
  </si>
  <si>
    <t>Fallout 76</t>
  </si>
  <si>
    <t>Fallout Shelter</t>
  </si>
  <si>
    <t>Fallout: New Vegas</t>
  </si>
  <si>
    <t>FANTASY LIFE i: The Girl Who Steals Time</t>
  </si>
  <si>
    <t>Far Cry 3</t>
  </si>
  <si>
    <t>Far Cry® 4</t>
  </si>
  <si>
    <t>Far Cry® 5</t>
  </si>
  <si>
    <t>Far Cry® 6</t>
  </si>
  <si>
    <t>Far Cry® New Dawn</t>
  </si>
  <si>
    <t>Far Cry® Primal</t>
  </si>
  <si>
    <t>Far Far West</t>
  </si>
  <si>
    <t>Farever</t>
  </si>
  <si>
    <t>Farlight 84</t>
  </si>
  <si>
    <t>Farm Together 2</t>
  </si>
  <si>
    <t>Farmer Against Potatoes Idle</t>
  </si>
  <si>
    <t>Farming Simulator 17</t>
  </si>
  <si>
    <t>Farming Simulator 19</t>
  </si>
  <si>
    <t>Farming Simulator 22</t>
  </si>
  <si>
    <t>Farming Simulator 25</t>
  </si>
  <si>
    <t>Farthest Frontier</t>
  </si>
  <si>
    <t>Feed the Cups</t>
  </si>
  <si>
    <t>Fellowship</t>
  </si>
  <si>
    <t>Fields of Mistria</t>
  </si>
  <si>
    <t>FIFA 22</t>
  </si>
  <si>
    <t>FINAL FANTASY TACTICS - The Ivalice Chronicles</t>
  </si>
  <si>
    <t>FINAL FANTASY VII REBIRTH</t>
  </si>
  <si>
    <t>FINAL FANTASY VII REMAKE INTERGRADE</t>
  </si>
  <si>
    <t>FINAL FANTASY X/X-2 HD Remaster</t>
  </si>
  <si>
    <t>FINAL FANTASY XIV Online</t>
  </si>
  <si>
    <t>FINAL FANTASY XIV Online Free Trial</t>
  </si>
  <si>
    <t>FINAL FANTASY XV WINDOWS EDITION</t>
  </si>
  <si>
    <t>FINAL FANTASY XVI</t>
  </si>
  <si>
    <t>Firestone – Idle Clicker Online RPG</t>
  </si>
  <si>
    <t>Fish Idle 2: Underwater Mystery</t>
  </si>
  <si>
    <t>Fishing Planet</t>
  </si>
  <si>
    <t>FiveM</t>
  </si>
  <si>
    <t>Football Manager 2017</t>
  </si>
  <si>
    <t>Football Manager 2019</t>
  </si>
  <si>
    <t>Football Manager 2020</t>
  </si>
  <si>
    <t>Football Manager 2021</t>
  </si>
  <si>
    <t>Football Manager 2022</t>
  </si>
  <si>
    <t>Football Manager 2023</t>
  </si>
  <si>
    <t>Football Manager 2024</t>
  </si>
  <si>
    <t>Football Manager 26</t>
  </si>
  <si>
    <t>FOR HONOR™</t>
  </si>
  <si>
    <t>For The King II</t>
  </si>
  <si>
    <t>Forager</t>
  </si>
  <si>
    <t>Fortune Mill</t>
  </si>
  <si>
    <t>Forza Horizon 4</t>
  </si>
  <si>
    <t>Forza Horizon 5</t>
  </si>
  <si>
    <t>Forza Horizon 6</t>
  </si>
  <si>
    <t>Foundation</t>
  </si>
  <si>
    <t>Foxhole</t>
  </si>
  <si>
    <t>FragPunk</t>
  </si>
  <si>
    <t>Frostpunk</t>
  </si>
  <si>
    <t>Frostpunk 2</t>
  </si>
  <si>
    <t>FTL: Faster Than Light</t>
  </si>
  <si>
    <t>Funnel Runners</t>
  </si>
  <si>
    <t>Gamble With Your Friends</t>
  </si>
  <si>
    <t>Game of Thrones: Kingsroad</t>
  </si>
  <si>
    <t>Garry's Mod</t>
  </si>
  <si>
    <t>Gears 5</t>
  </si>
  <si>
    <t>Gems of War - Puzzle RPG</t>
  </si>
  <si>
    <t>Generation Zero®</t>
  </si>
  <si>
    <t>GeoGuessr Steam Edition</t>
  </si>
  <si>
    <t>Geometry Dash</t>
  </si>
  <si>
    <t>Ghost of Tsushima DIRECTOR'S CUT</t>
  </si>
  <si>
    <t>Ghostwire: Tokyo</t>
  </si>
  <si>
    <t>Gloria Victis: Medieval MMORPG</t>
  </si>
  <si>
    <t>GOALS</t>
  </si>
  <si>
    <t>God of War</t>
  </si>
  <si>
    <t>God of War Ragnarök</t>
  </si>
  <si>
    <t>Godot Engine</t>
  </si>
  <si>
    <t>gogh: Focus with Your Avatar</t>
  </si>
  <si>
    <t>Go-Go Town!</t>
  </si>
  <si>
    <t>Going Medieval</t>
  </si>
  <si>
    <t>Golf With Your Friends</t>
  </si>
  <si>
    <t>Goose Goose Duck</t>
  </si>
  <si>
    <t>Gorilla Tag</t>
  </si>
  <si>
    <t>Gothic 1 Remake</t>
  </si>
  <si>
    <t>Gothic II: Gold Edition</t>
  </si>
  <si>
    <t>Granado Espada</t>
  </si>
  <si>
    <t>Granblue Fantasy: Relink</t>
  </si>
  <si>
    <t>Grand Theft Auto IV: The Complete Edition</t>
  </si>
  <si>
    <t>Grand Theft Auto V Enhanced</t>
  </si>
  <si>
    <t>Grand Theft Auto V Legacy</t>
  </si>
  <si>
    <t>Grand Theft Auto: San Andreas – The Definitive Edition</t>
  </si>
  <si>
    <t>GrandChase</t>
  </si>
  <si>
    <t>Graveyard Keeper</t>
  </si>
  <si>
    <t>Gray Zone Warfare</t>
  </si>
  <si>
    <t>Green Hell</t>
  </si>
  <si>
    <t>Grim Dawn</t>
  </si>
  <si>
    <t>GROUND BRANCH</t>
  </si>
  <si>
    <t>Grounded</t>
  </si>
  <si>
    <t>Grounded 2</t>
  </si>
  <si>
    <t>GTFO</t>
  </si>
  <si>
    <t>Guild Wars 2®</t>
  </si>
  <si>
    <t>Guildrun Demo</t>
  </si>
  <si>
    <t>GUILTY GEAR -STRIVE-</t>
  </si>
  <si>
    <t>Gunfire Reborn</t>
  </si>
  <si>
    <t>Hades</t>
  </si>
  <si>
    <t>Hades II</t>
  </si>
  <si>
    <t>Half Sword</t>
  </si>
  <si>
    <t>Half Sword Tech Demo</t>
  </si>
  <si>
    <t>Half-Life</t>
  </si>
  <si>
    <t>Half-Life 2</t>
  </si>
  <si>
    <t>Half-Life: Alyx</t>
  </si>
  <si>
    <t>Halls of Torment</t>
  </si>
  <si>
    <t>Halo Infinite</t>
  </si>
  <si>
    <t>Halo: The Master Chief Collection</t>
  </si>
  <si>
    <t>Heartopia</t>
  </si>
  <si>
    <t>Hearts of Iron IV</t>
  </si>
  <si>
    <t>Hell Let Loose</t>
  </si>
  <si>
    <t>HELLDIVERS™ 2</t>
  </si>
  <si>
    <t>Hero Siege</t>
  </si>
  <si>
    <t>Heroes of Hammerwatch II</t>
  </si>
  <si>
    <t>Heroes of Might and Magic: Olden Era</t>
  </si>
  <si>
    <t>Heroes® of Might &amp; Magic® III - HD Edition</t>
  </si>
  <si>
    <t>Hero's Adventure: Road to Passion</t>
  </si>
  <si>
    <t>Hero's Land</t>
  </si>
  <si>
    <t>High On Life</t>
  </si>
  <si>
    <t>HITMAN World of Assassination</t>
  </si>
  <si>
    <t>Hitman: Absolution™</t>
  </si>
  <si>
    <t>Hogwarts Legacy</t>
  </si>
  <si>
    <t>Holdfast: Nations At War</t>
  </si>
  <si>
    <t>Hollow Knight</t>
  </si>
  <si>
    <t>Hollow Knight: Silksong</t>
  </si>
  <si>
    <t>HoloCure - Save the Fans!</t>
  </si>
  <si>
    <t>Horizon Forbidden West™ Complete Edition</t>
  </si>
  <si>
    <t>Horizon Zero Dawn™ Complete Edition</t>
  </si>
  <si>
    <t>Hotline Miami 2: Wrong Number</t>
  </si>
  <si>
    <t>House Flipper</t>
  </si>
  <si>
    <t>House Flipper 2</t>
  </si>
  <si>
    <t>HudSight - crosshair overlay</t>
  </si>
  <si>
    <t>Human Fall Flat</t>
  </si>
  <si>
    <t>HumanitZ</t>
  </si>
  <si>
    <t>HUMANKIND™</t>
  </si>
  <si>
    <t>Hunt: Showdown 1896</t>
  </si>
  <si>
    <t>ICARUS</t>
  </si>
  <si>
    <t>Idle Champions of the Forgotten Realms</t>
  </si>
  <si>
    <t>Idle Hero TD - Tower Defense</t>
  </si>
  <si>
    <t>Idle Slayer</t>
  </si>
  <si>
    <t>IdleOn</t>
  </si>
  <si>
    <t>Idling to Rule the Gods</t>
  </si>
  <si>
    <t>Imperator: Rome</t>
  </si>
  <si>
    <t>INAZUMA ELEVEN: Victory Road</t>
  </si>
  <si>
    <t>Indiana Jones and the Great Circle</t>
  </si>
  <si>
    <t>Infection Free Zone</t>
  </si>
  <si>
    <t>Infinity Nikki</t>
  </si>
  <si>
    <t>Inscryption</t>
  </si>
  <si>
    <t>Inside the Backrooms</t>
  </si>
  <si>
    <t>Insurgency: Sandstorm</t>
  </si>
  <si>
    <t>inZOI</t>
  </si>
  <si>
    <t>IRON NEST: Heavy Turret Simulator Demo</t>
  </si>
  <si>
    <t>It Takes Two</t>
  </si>
  <si>
    <t>Jagged Alliance 3</t>
  </si>
  <si>
    <t>Jump Space</t>
  </si>
  <si>
    <t>Jurassic World Evolution 2</t>
  </si>
  <si>
    <t>Jurassic World Evolution 3</t>
  </si>
  <si>
    <t>Just Cause™ 3</t>
  </si>
  <si>
    <t>KARDS - The WW2 Card Game</t>
  </si>
  <si>
    <t>Kathana</t>
  </si>
  <si>
    <t>Kenshi</t>
  </si>
  <si>
    <t>Kerbal Space Program</t>
  </si>
  <si>
    <t>Killing Floor 2</t>
  </si>
  <si>
    <t>Killing Floor 3</t>
  </si>
  <si>
    <t>Kingdom Come: Deliverance</t>
  </si>
  <si>
    <t>Kingdom Come: Deliverance II</t>
  </si>
  <si>
    <t>KINGDOM HEARTS -HD 1.5+2.5 ReMIX-</t>
  </si>
  <si>
    <t>Kingdom Two Crowns</t>
  </si>
  <si>
    <t>Knight Online</t>
  </si>
  <si>
    <t>KovaaK's</t>
  </si>
  <si>
    <t>Krita</t>
  </si>
  <si>
    <t>Last Epoch</t>
  </si>
  <si>
    <t>Le Mans Ultimate</t>
  </si>
  <si>
    <t>Leaf it Alone</t>
  </si>
  <si>
    <t>Left 4 Dead</t>
  </si>
  <si>
    <t>Left 4 Dead 2</t>
  </si>
  <si>
    <t>Legend of Heroes: Three Kingdoms</t>
  </si>
  <si>
    <t>Legend of Mortal</t>
  </si>
  <si>
    <t>Legion TD 2 - Multiplayer Tower Defense</t>
  </si>
  <si>
    <t>LEGO® Batman™: Legacy of the Dark Knight</t>
  </si>
  <si>
    <t>LEGO® Star Wars™: The Skywalker Saga</t>
  </si>
  <si>
    <t>Lethal Company</t>
  </si>
  <si>
    <t>Liar's Bar</t>
  </si>
  <si>
    <t>Librarian: Tidy Up the Arcane Library!</t>
  </si>
  <si>
    <t>Library Of Ruina</t>
  </si>
  <si>
    <t>Lies of P</t>
  </si>
  <si>
    <t>Life is Strange - Episode 1</t>
  </si>
  <si>
    <t>Life is Strange 2</t>
  </si>
  <si>
    <t>Like a Dragon: Infinite Wealth</t>
  </si>
  <si>
    <t>Limbus Company</t>
  </si>
  <si>
    <t>Little Nightmares III</t>
  </si>
  <si>
    <t>Live Wallpaper</t>
  </si>
  <si>
    <t>Lobotomy Corporation | Monster Management Simulation</t>
  </si>
  <si>
    <t>Lords of the Fallen</t>
  </si>
  <si>
    <t>Lossless Scaling</t>
  </si>
  <si>
    <t>Lost Ark</t>
  </si>
  <si>
    <t>Lost Castle 2</t>
  </si>
  <si>
    <t>Luma Island</t>
  </si>
  <si>
    <t>Lust Goddess</t>
  </si>
  <si>
    <t>Mad Max</t>
  </si>
  <si>
    <t>Mafia III: Definitive Edition</t>
  </si>
  <si>
    <t>Mafia: Definitive Edition</t>
  </si>
  <si>
    <t>Mafia: The Old Country</t>
  </si>
  <si>
    <t>Magic: The Gathering Arena</t>
  </si>
  <si>
    <t>Magicraft</t>
  </si>
  <si>
    <t>Manor Lords</t>
  </si>
  <si>
    <t>MapleStory</t>
  </si>
  <si>
    <t>Marathon</t>
  </si>
  <si>
    <t>Marvel Rivals</t>
  </si>
  <si>
    <t>MARVEL SNAP</t>
  </si>
  <si>
    <t>Marvel’s Spider-Man Remastered</t>
  </si>
  <si>
    <t>Marvel’s Spider-Man: Miles Morales</t>
  </si>
  <si>
    <t>Marvel's Midnight Suns</t>
  </si>
  <si>
    <t>Marvel's Spider-Man 2</t>
  </si>
  <si>
    <t>Mass Effect™ Legendary Edition</t>
  </si>
  <si>
    <t>MECCHA CHAMELEON</t>
  </si>
  <si>
    <t>Mecha BREAK</t>
  </si>
  <si>
    <t>Mechabellum</t>
  </si>
  <si>
    <t>MechWarrior 5: Mercenaries</t>
  </si>
  <si>
    <t>Medieval Dynasty</t>
  </si>
  <si>
    <t>Megabonk</t>
  </si>
  <si>
    <t>Megastore Simulator</t>
  </si>
  <si>
    <t>Melvor Idle</t>
  </si>
  <si>
    <t>MENACE</t>
  </si>
  <si>
    <t>METAL GEAR RISING: REVENGEANCE</t>
  </si>
  <si>
    <t>METAL GEAR SOLID V: THE PHANTOM PAIN</t>
  </si>
  <si>
    <t>Metaphor: ReFantazio</t>
  </si>
  <si>
    <t>Metro 2033 Redux</t>
  </si>
  <si>
    <t>Metro Exodus</t>
  </si>
  <si>
    <t>Metro: Last Light Redux</t>
  </si>
  <si>
    <t>Mewgenics</t>
  </si>
  <si>
    <t>Microsoft Flight Simulator (2020) 40th Anniversary Edition</t>
  </si>
  <si>
    <t>Microsoft Flight Simulator 2024</t>
  </si>
  <si>
    <t>Middle-earth™: Shadow of Mordor™</t>
  </si>
  <si>
    <t>Middle-earth™: Shadow of War™</t>
  </si>
  <si>
    <t>Mina the Hollower</t>
  </si>
  <si>
    <t>Mindustry</t>
  </si>
  <si>
    <t>Mini Cozy Room: Lo-Fi</t>
  </si>
  <si>
    <t>MIR4</t>
  </si>
  <si>
    <t>MISERY</t>
  </si>
  <si>
    <t>MiSide</t>
  </si>
  <si>
    <t>MONSTER HUNTER RISE</t>
  </si>
  <si>
    <t>Monster Hunter Stories 3: Twisted Reflection</t>
  </si>
  <si>
    <t>Monster Hunter Wilds</t>
  </si>
  <si>
    <t>Monster Hunter: World</t>
  </si>
  <si>
    <t>Monster Train 2</t>
  </si>
  <si>
    <t>Moonlight Peaks</t>
  </si>
  <si>
    <t>MORDHAU</t>
  </si>
  <si>
    <t>Morimens</t>
  </si>
  <si>
    <t>Mortal Kombat 1</t>
  </si>
  <si>
    <t>Mortal Kombat X</t>
  </si>
  <si>
    <t>Mortal Kombat 11</t>
  </si>
  <si>
    <t>Mortal Online 2</t>
  </si>
  <si>
    <t>Motor Town: Behind The Wheel</t>
  </si>
  <si>
    <t>Mount &amp; Blade II: Bannerlord</t>
  </si>
  <si>
    <t>Mount &amp; Blade: Warband</t>
  </si>
  <si>
    <t>MOUSE: P.I. For Hire</t>
  </si>
  <si>
    <t>MU: Dark Epoch</t>
  </si>
  <si>
    <t>Muck</t>
  </si>
  <si>
    <t>Muse Dash</t>
  </si>
  <si>
    <t>MX Bikes</t>
  </si>
  <si>
    <t>MY HERO ULTRA RUMBLE</t>
  </si>
  <si>
    <t>My Singing Monsters</t>
  </si>
  <si>
    <t>My Summer Car</t>
  </si>
  <si>
    <t>My Time at Portia</t>
  </si>
  <si>
    <t>My Time at Sandrock</t>
  </si>
  <si>
    <t>My Winter Car</t>
  </si>
  <si>
    <t>MyDockFinder</t>
  </si>
  <si>
    <t>Mystina : Remaster Online</t>
  </si>
  <si>
    <t>Myth of Empires</t>
  </si>
  <si>
    <t>Myth of Empires: Throne</t>
  </si>
  <si>
    <t>NARAKA: BLADEPOINT</t>
  </si>
  <si>
    <t>NBA 2K25</t>
  </si>
  <si>
    <t>NBA 2K26</t>
  </si>
  <si>
    <t>Necesse</t>
  </si>
  <si>
    <t>Need for Speed™ Heat</t>
  </si>
  <si>
    <t>Need for Speed™ Unbound</t>
  </si>
  <si>
    <t>Neverwinter</t>
  </si>
  <si>
    <t>New World: Aeternum</t>
  </si>
  <si>
    <t>NGU IDLE</t>
  </si>
  <si>
    <t>NieR:Automata™</t>
  </si>
  <si>
    <t>Nine Sols</t>
  </si>
  <si>
    <t>Nioh 2 – The Complete Edition</t>
  </si>
  <si>
    <t>Nioh 3</t>
  </si>
  <si>
    <t>No Man's Sky</t>
  </si>
  <si>
    <t>No More Room in Hell</t>
  </si>
  <si>
    <t>No Rest for the Wicked</t>
  </si>
  <si>
    <t>NOBUNAGA'S AMBITION: Awakening</t>
  </si>
  <si>
    <t>Noita</t>
  </si>
  <si>
    <t>Nomad Drive Demo</t>
  </si>
  <si>
    <t>Norland</t>
  </si>
  <si>
    <t>Northgard: Definitive Edition</t>
  </si>
  <si>
    <t>NTE: Neverness to Everness</t>
  </si>
  <si>
    <t>Oaken Tower</t>
  </si>
  <si>
    <t>OBS Studio</t>
  </si>
  <si>
    <t>OCTOPATH TRAVELER 0</t>
  </si>
  <si>
    <t>OCTOPATH TRAVELER II</t>
  </si>
  <si>
    <t>Off The Grid</t>
  </si>
  <si>
    <t>Old School RuneScape</t>
  </si>
  <si>
    <t>OMSI 2: Steam Edition</t>
  </si>
  <si>
    <t>Once Human</t>
  </si>
  <si>
    <t>ONE PIECE Bounty Rush</t>
  </si>
  <si>
    <t>One-armed robber</t>
  </si>
  <si>
    <t>OPERATOR</t>
  </si>
  <si>
    <t>Orb of Creation</t>
  </si>
  <si>
    <t>Ore Factory Squad ⛏️</t>
  </si>
  <si>
    <t>Ori and the Will of the Wisps</t>
  </si>
  <si>
    <t>Out of the Park Baseball 27</t>
  </si>
  <si>
    <t>Outer Wilds</t>
  </si>
  <si>
    <t>Outlast</t>
  </si>
  <si>
    <t>Outward Definitive Edition</t>
  </si>
  <si>
    <t>Overcooked! 2</t>
  </si>
  <si>
    <t>Overwatch®</t>
  </si>
  <si>
    <t>OVR Advanced Settings</t>
  </si>
  <si>
    <t>OVR Toolkit - Desktop Overlay</t>
  </si>
  <si>
    <t>Oxygen Not Included</t>
  </si>
  <si>
    <t>OyasumiVR - VR Sleeping Utilities</t>
  </si>
  <si>
    <t>Pacific Drive</t>
  </si>
  <si>
    <t>Paladins®</t>
  </si>
  <si>
    <t>Palia</t>
  </si>
  <si>
    <t>Palworld</t>
  </si>
  <si>
    <t>Paralives</t>
  </si>
  <si>
    <t>Parcel Simulator</t>
  </si>
  <si>
    <t>Party Animals</t>
  </si>
  <si>
    <t>Path of Exile</t>
  </si>
  <si>
    <t>Path of Exile 2</t>
  </si>
  <si>
    <t>Pathfinder: Kingmaker — Enhanced Plus Edition</t>
  </si>
  <si>
    <t>Pathfinder: Wrath of the Righteous - Enhanced Edition</t>
  </si>
  <si>
    <t>Pathogenic</t>
  </si>
  <si>
    <t>Pax Dei</t>
  </si>
  <si>
    <t>PAYDAY 2</t>
  </si>
  <si>
    <t>PAYDAY 3</t>
  </si>
  <si>
    <t>PEAK</t>
  </si>
  <si>
    <t>People Playground</t>
  </si>
  <si>
    <t>Persona 3 Reload</t>
  </si>
  <si>
    <t>Persona 4 Golden</t>
  </si>
  <si>
    <t>Persona 5 Royal</t>
  </si>
  <si>
    <t>Persona5: The Phantom X</t>
  </si>
  <si>
    <t>PGA TOUR 2K25</t>
  </si>
  <si>
    <t>Phantasy Star Online 2 New Genesis</t>
  </si>
  <si>
    <t>Phasmophobia</t>
  </si>
  <si>
    <t>Pillars of Eternity</t>
  </si>
  <si>
    <t>Pillars of Eternity II: Deadfire</t>
  </si>
  <si>
    <t>Pixel Gun 3D: PC Edition</t>
  </si>
  <si>
    <t>Pixel Worlds: MMO Sandbox</t>
  </si>
  <si>
    <t>Plague Inc: Evolved</t>
  </si>
  <si>
    <t>Planet Coaster</t>
  </si>
  <si>
    <t>Planet Coaster 2</t>
  </si>
  <si>
    <t>Planet Zoo</t>
  </si>
  <si>
    <t>PlanetSide 2</t>
  </si>
  <si>
    <t>Plants vs. Zombies GOTY Edition</t>
  </si>
  <si>
    <t>Plants vs. Zombies™ Garden Warfare 2: Deluxe Edition</t>
  </si>
  <si>
    <t>PlateUp!</t>
  </si>
  <si>
    <t>Play Together</t>
  </si>
  <si>
    <t>Poppy Playtime</t>
  </si>
  <si>
    <t>Portal</t>
  </si>
  <si>
    <t>Portal 2</t>
  </si>
  <si>
    <t>Potion Craft: Alchemist Simulator</t>
  </si>
  <si>
    <t>PowerWash Simulator</t>
  </si>
  <si>
    <t>PowerWash Simulator 2</t>
  </si>
  <si>
    <t>PRAGMATA</t>
  </si>
  <si>
    <t>Pratfall</t>
  </si>
  <si>
    <t>Predecessor</t>
  </si>
  <si>
    <t>Prey</t>
  </si>
  <si>
    <t>Prison Architect</t>
  </si>
  <si>
    <t>Pro Cycling Manager 26</t>
  </si>
  <si>
    <t>Pro Soccer Online</t>
  </si>
  <si>
    <t>Project Zomboid</t>
  </si>
  <si>
    <t>PUBG: BATTLEGROUNDS</t>
  </si>
  <si>
    <t>Pummel Party</t>
  </si>
  <si>
    <t>Quake Champions</t>
  </si>
  <si>
    <t>Quarantine Zone: The Last Check</t>
  </si>
  <si>
    <t>R.E.P.O.</t>
  </si>
  <si>
    <t>RACCOIN: Coin Pusher Roguelike</t>
  </si>
  <si>
    <t>Raft</t>
  </si>
  <si>
    <t>RAID: Shadow Legends</t>
  </si>
  <si>
    <t>Rain World</t>
  </si>
  <si>
    <t>Ranch Simulator: Build, Hunt, Farm</t>
  </si>
  <si>
    <t>Ravenswatch</t>
  </si>
  <si>
    <t>Ready or Not</t>
  </si>
  <si>
    <t>Realm of the Mad God Exalt</t>
  </si>
  <si>
    <t>REANIMAL</t>
  </si>
  <si>
    <t>Red Dead Online</t>
  </si>
  <si>
    <t>Red Dead Redemption</t>
  </si>
  <si>
    <t>Red Dead Redemption 2</t>
  </si>
  <si>
    <t>RedM</t>
  </si>
  <si>
    <t>REMATCH</t>
  </si>
  <si>
    <t>REMNANT II®</t>
  </si>
  <si>
    <t>Remnant: From the Ashes</t>
  </si>
  <si>
    <t>Resident Evil 2</t>
  </si>
  <si>
    <t>Resident Evil 3</t>
  </si>
  <si>
    <t>Resident Evil 4</t>
  </si>
  <si>
    <t>Resident Evil 5</t>
  </si>
  <si>
    <t>Resident Evil 6</t>
  </si>
  <si>
    <t>Resident Evil 7 Biohazard</t>
  </si>
  <si>
    <t>Resident Evil Requiem</t>
  </si>
  <si>
    <t>Resident Evil Village</t>
  </si>
  <si>
    <t>Retro Rewind - Video Store Simulator</t>
  </si>
  <si>
    <t>Reverse: 1999</t>
  </si>
  <si>
    <t>Revolution Idle</t>
  </si>
  <si>
    <t>RimWorld</t>
  </si>
  <si>
    <t>Rise of the Tomb Raider™</t>
  </si>
  <si>
    <t>Rising Storm 2: Vietnam</t>
  </si>
  <si>
    <t>Risk of Rain 2</t>
  </si>
  <si>
    <t>RISK: Global Domination</t>
  </si>
  <si>
    <t>Rivals of Aether II</t>
  </si>
  <si>
    <t>Road to Empress Ⅱ</t>
  </si>
  <si>
    <t>Road to Empress I</t>
  </si>
  <si>
    <t>RoadCraft</t>
  </si>
  <si>
    <t>Rocket League®</t>
  </si>
  <si>
    <t>ROMANCE OF THE THREE KINGDOMS XIV</t>
  </si>
  <si>
    <t>Romestead</t>
  </si>
  <si>
    <t>RuneScape ®</t>
  </si>
  <si>
    <t>RuneScape: Dragonwilds</t>
  </si>
  <si>
    <t>Russian Fishing 4</t>
  </si>
  <si>
    <t>Rust</t>
  </si>
  <si>
    <t>Rusty's Retirement</t>
  </si>
  <si>
    <t>RV There Yet?</t>
  </si>
  <si>
    <t>s&amp;box</t>
  </si>
  <si>
    <t>S.T.A.L.K.E.R. 2: Heart of Chornobyl</t>
  </si>
  <si>
    <t>SAND: Raiders of Sophie</t>
  </si>
  <si>
    <t>SAO Utils 2: Progressive</t>
  </si>
  <si>
    <t>Satisfactory</t>
  </si>
  <si>
    <t>Satisfactory Modeler</t>
  </si>
  <si>
    <t>Schedule I</t>
  </si>
  <si>
    <t>Schedule I: Free Sample</t>
  </si>
  <si>
    <t>SCP: Secret Laboratory</t>
  </si>
  <si>
    <t>Scrap Mechanic</t>
  </si>
  <si>
    <t>Scritchy Scratchy</t>
  </si>
  <si>
    <t>SCUM</t>
  </si>
  <si>
    <t>Sea of Thieves: 2026 Edition</t>
  </si>
  <si>
    <t>Sea Power : Naval Combat in the Missile Age</t>
  </si>
  <si>
    <t>Sekiro™: Shadows Die Twice - GOTY Edition</t>
  </si>
  <si>
    <t>Shadow of the Tomb Raider: Definitive Edition</t>
  </si>
  <si>
    <t>Shadowverse: Worlds Beyond</t>
  </si>
  <si>
    <t>Shakes and Fidget</t>
  </si>
  <si>
    <t>Shape of Dreams</t>
  </si>
  <si>
    <t>shapez 2 - Factory</t>
  </si>
  <si>
    <t>ShareX</t>
  </si>
  <si>
    <t>Shin Megami Tensei V: Vengeance</t>
  </si>
  <si>
    <t>Shop Titans</t>
  </si>
  <si>
    <t>Sid Meier’s Civilization® VI</t>
  </si>
  <si>
    <t>Sid Meier's Civilization VII</t>
  </si>
  <si>
    <t>Sid Meier's Civilization® III Complete</t>
  </si>
  <si>
    <t>Sid Meier's Civilization® V</t>
  </si>
  <si>
    <t>Sid Meier's Civilization®: Beyond Earth™</t>
  </si>
  <si>
    <t>SIGame</t>
  </si>
  <si>
    <t>SILENT HILL 2</t>
  </si>
  <si>
    <t>SILENT HILL f</t>
  </si>
  <si>
    <t>Silly Linguine Cat Simulator Deluxe Online</t>
  </si>
  <si>
    <t>Sins of a Solar Empire II</t>
  </si>
  <si>
    <t>skate.</t>
  </si>
  <si>
    <t>Sky: Children of the Light</t>
  </si>
  <si>
    <t>Slay the Spire</t>
  </si>
  <si>
    <t>Slay the Spire 2</t>
  </si>
  <si>
    <t>Slime Rancher</t>
  </si>
  <si>
    <t>Slime Rancher 2</t>
  </si>
  <si>
    <t>Smalland: Survive the Wilds</t>
  </si>
  <si>
    <t>SMITE 2</t>
  </si>
  <si>
    <t>SMITE®</t>
  </si>
  <si>
    <t>Sniper Elite 4</t>
  </si>
  <si>
    <t>Sniper Elite 5</t>
  </si>
  <si>
    <t>SnowRunner</t>
  </si>
  <si>
    <t>Soccer Manager 2026</t>
  </si>
  <si>
    <t>Solarpunk™</t>
  </si>
  <si>
    <t>Solo Leveling: ARISE OVERDRIVE</t>
  </si>
  <si>
    <t>Songs of Syx</t>
  </si>
  <si>
    <t>Sonic Racing: CrossWorlds</t>
  </si>
  <si>
    <t>Sons Of The Forest</t>
  </si>
  <si>
    <t>Soulmask</t>
  </si>
  <si>
    <t>Soulstone Survivors</t>
  </si>
  <si>
    <t>Soundpad</t>
  </si>
  <si>
    <t>Soundpad Demo</t>
  </si>
  <si>
    <t>Source Filmmaker</t>
  </si>
  <si>
    <t>South Park™: The Fractured But Whole™</t>
  </si>
  <si>
    <t>South Park™: The Stick of Truth™</t>
  </si>
  <si>
    <t>Space Engineers</t>
  </si>
  <si>
    <t>Space Engineers 2</t>
  </si>
  <si>
    <t>Space Station 14 Playtest</t>
  </si>
  <si>
    <t>SpaceCraft</t>
  </si>
  <si>
    <t>Spirit City: Lofi Sessions</t>
  </si>
  <si>
    <t>Spiritfarer®: Farewell Edition</t>
  </si>
  <si>
    <t>SpiritVale</t>
  </si>
  <si>
    <t>Split Fiction</t>
  </si>
  <si>
    <t>Squad</t>
  </si>
  <si>
    <t>STALZONE</t>
  </si>
  <si>
    <t>Star Trek Online</t>
  </si>
  <si>
    <t>STAR WARS Jedi: Fallen Order™</t>
  </si>
  <si>
    <t>STAR WARS Jedi: Survivor™</t>
  </si>
  <si>
    <t>STAR WARS™ Battlefront™ II</t>
  </si>
  <si>
    <t>STAR WARS™ Empire at War - Gold Pack</t>
  </si>
  <si>
    <t>STAR WARS™: The Old Republic™</t>
  </si>
  <si>
    <t>Starbound</t>
  </si>
  <si>
    <t>Stardew Valley</t>
  </si>
  <si>
    <t>Starfield</t>
  </si>
  <si>
    <t>StarRupture</t>
  </si>
  <si>
    <t>StarSavior</t>
  </si>
  <si>
    <t>State of Decay 2: Juggernaut Edition</t>
  </si>
  <si>
    <t>Stay Out</t>
  </si>
  <si>
    <t>Stellar Blade™</t>
  </si>
  <si>
    <t>Stellaris</t>
  </si>
  <si>
    <t>Stoneshard</t>
  </si>
  <si>
    <t>Stormworks: Build and Rescue</t>
  </si>
  <si>
    <t>Stray</t>
  </si>
  <si>
    <t>Stream Avatars</t>
  </si>
  <si>
    <t>Street Fighter™ 6</t>
  </si>
  <si>
    <t>Strikers Club</t>
  </si>
  <si>
    <t>Strinova</t>
  </si>
  <si>
    <t>Stronghold Crusader: Definitive Edition</t>
  </si>
  <si>
    <t>Stumble Guys</t>
  </si>
  <si>
    <t>Subnautica</t>
  </si>
  <si>
    <t>Subnautica 2</t>
  </si>
  <si>
    <t>Subnautica: Below Zero</t>
  </si>
  <si>
    <t>SULFUR</t>
  </si>
  <si>
    <t>Sultan's Game</t>
  </si>
  <si>
    <t>Summoners War</t>
  </si>
  <si>
    <t>Sun Haven</t>
  </si>
  <si>
    <t>Sunkenland</t>
  </si>
  <si>
    <t>Super Auto Pets</t>
  </si>
  <si>
    <t>Super Battle Golf</t>
  </si>
  <si>
    <t>Super Fantasy Kingdom</t>
  </si>
  <si>
    <t>Supermarket Chaos</t>
  </si>
  <si>
    <t>Supermarket Simulator</t>
  </si>
  <si>
    <t>Supermarket Together</t>
  </si>
  <si>
    <t>Supreme Commander: Forged Alliance</t>
  </si>
  <si>
    <t>SurrounDead</t>
  </si>
  <si>
    <t>Tabletop Simulator</t>
  </si>
  <si>
    <t>Tainted Grail: The Fall of Avalon</t>
  </si>
  <si>
    <t>Tap Ninja - Idle game</t>
  </si>
  <si>
    <t>Tap Tap Loot</t>
  </si>
  <si>
    <t>TBH: Task Bar Hero</t>
  </si>
  <si>
    <t>TCG Card Shop Simulator</t>
  </si>
  <si>
    <t>Team Fortress 2</t>
  </si>
  <si>
    <t>Teardown</t>
  </si>
  <si>
    <t>TEKKEN 7</t>
  </si>
  <si>
    <t>TEKKEN 8</t>
  </si>
  <si>
    <t>Terraria</t>
  </si>
  <si>
    <t>The Alters</t>
  </si>
  <si>
    <t>The Bazaar</t>
  </si>
  <si>
    <t>The Binding of Isaac</t>
  </si>
  <si>
    <t>The Binding of Isaac: Rebirth</t>
  </si>
  <si>
    <t>The Crew Motorfest</t>
  </si>
  <si>
    <t>The Crew™ 2</t>
  </si>
  <si>
    <t>The Elder Scrolls IV: Oblivion Remastered</t>
  </si>
  <si>
    <t>The Elder Scrolls V: Skyrim</t>
  </si>
  <si>
    <t>The Elder Scrolls V: Skyrim Special Edition</t>
  </si>
  <si>
    <t>The Elder Scrolls® Online</t>
  </si>
  <si>
    <t>THE FINALS</t>
  </si>
  <si>
    <t>The First Berserker: Khazan</t>
  </si>
  <si>
    <t>The First Descendant</t>
  </si>
  <si>
    <t>The Forest</t>
  </si>
  <si>
    <t>The Forever Winter</t>
  </si>
  <si>
    <t>The Incident at Galley House</t>
  </si>
  <si>
    <t>The Isle</t>
  </si>
  <si>
    <t>The King is Watching</t>
  </si>
  <si>
    <t>The Last Caretaker</t>
  </si>
  <si>
    <t>The Last of Us™ Part I</t>
  </si>
  <si>
    <t>The Last of Us™ Part II Remastered</t>
  </si>
  <si>
    <t>The Life and Suffering of Prince Jerian</t>
  </si>
  <si>
    <t>The Life and Suffering of Sir Brante</t>
  </si>
  <si>
    <t>The Long Dark</t>
  </si>
  <si>
    <t>The Lord of the Rings Online™</t>
  </si>
  <si>
    <t>The Mound: Omen of Cthulhu</t>
  </si>
  <si>
    <t>The NOexistenceN of Lilith</t>
  </si>
  <si>
    <t>The Outer Worlds 2</t>
  </si>
  <si>
    <t>The Outlast Trials</t>
  </si>
  <si>
    <t>The Perfect Tower II</t>
  </si>
  <si>
    <t>The Planet Crafter</t>
  </si>
  <si>
    <t>The Quinfall</t>
  </si>
  <si>
    <t>The Riftbreaker</t>
  </si>
  <si>
    <t>The Scroll of Taiwu : Beyond The Dome</t>
  </si>
  <si>
    <t>The Seven Deadly Sins: Origin</t>
  </si>
  <si>
    <t>The Sims™ 2 Legacy Collection</t>
  </si>
  <si>
    <t>The Sims™ 3</t>
  </si>
  <si>
    <t>The Sims™ 4</t>
  </si>
  <si>
    <t>The Spell Brigade</t>
  </si>
  <si>
    <t>The Texas Chain Saw Massacre</t>
  </si>
  <si>
    <t>The Walking Dead: The Telltale Definitive Series</t>
  </si>
  <si>
    <t>The Witcher 2: Assassins of Kings Enhanced Edition</t>
  </si>
  <si>
    <t>The Witcher 3: Wild Hunt</t>
  </si>
  <si>
    <t>The Witcher: Enhanced Edition Director's Cut</t>
  </si>
  <si>
    <t>theHunter: Call of the Wild™</t>
  </si>
  <si>
    <t>They Are Billions</t>
  </si>
  <si>
    <t>Throne and Liberty</t>
  </si>
  <si>
    <t>Timberborn</t>
  </si>
  <si>
    <t>Time Mysteries 2: The Ancient Spectres</t>
  </si>
  <si>
    <t>Tiny Pasture</t>
  </si>
  <si>
    <t>Tiny Tina's Wonderlands</t>
  </si>
  <si>
    <t>Titan Quest Anniversary Edition</t>
  </si>
  <si>
    <t>Titan Quest II</t>
  </si>
  <si>
    <t>Titanfall® 2</t>
  </si>
  <si>
    <t>tModLoader</t>
  </si>
  <si>
    <t>Tom Clancy’s The Division® 2</t>
  </si>
  <si>
    <t>Tom Clancy’s The Division™</t>
  </si>
  <si>
    <t>Tom Clancy's Ghost Recon® Breakpoint</t>
  </si>
  <si>
    <t>Tom Clancy's Ghost Recon® Wildlands</t>
  </si>
  <si>
    <t>Tom Clancy's Rainbow Six Siege</t>
  </si>
  <si>
    <t>Tomb Raider Game of the Year</t>
  </si>
  <si>
    <t>Torchlight II</t>
  </si>
  <si>
    <t>Torchlight: Infinite</t>
  </si>
  <si>
    <t>Total War: ATTILA</t>
  </si>
  <si>
    <t>Total War: EMPIRE – Definitive Edition</t>
  </si>
  <si>
    <t>Total War: MEDIEVAL II – Definitive Edition</t>
  </si>
  <si>
    <t>Total War: NAPOLEON – Definitive Edition</t>
  </si>
  <si>
    <t>Total War: ROME II - Emperor Edition</t>
  </si>
  <si>
    <t>Total War: ROME REMASTERED</t>
  </si>
  <si>
    <t>Total War: SHOGUN 2</t>
  </si>
  <si>
    <t>Total War: THREE KINGDOMS</t>
  </si>
  <si>
    <t>Total War: WARHAMMER</t>
  </si>
  <si>
    <t>Total War: WARHAMMER II</t>
  </si>
  <si>
    <t>Total War: WARHAMMER III</t>
  </si>
  <si>
    <t>Totally Accurate Battle Simulator</t>
  </si>
  <si>
    <t>Trackmania</t>
  </si>
  <si>
    <t>Trailmakers</t>
  </si>
  <si>
    <t>Train Sim World® 6</t>
  </si>
  <si>
    <t>Transformice</t>
  </si>
  <si>
    <t>Transport Fever 2</t>
  </si>
  <si>
    <t>Tropico 6</t>
  </si>
  <si>
    <t>Trove</t>
  </si>
  <si>
    <t>Two Point Hospital</t>
  </si>
  <si>
    <t>Two Point Museum</t>
  </si>
  <si>
    <t>UBOAT</t>
  </si>
  <si>
    <t>Ultimate Chicken Horse</t>
  </si>
  <si>
    <t>ULTRAKILL</t>
  </si>
  <si>
    <t>Umamusume: Pretty Derby</t>
  </si>
  <si>
    <t>UNCHARTED™: Legacy of Thieves Collection</t>
  </si>
  <si>
    <t>UNDECEMBER: The Forge</t>
  </si>
  <si>
    <t>Undertale</t>
  </si>
  <si>
    <t>Unnamed Space Idle</t>
  </si>
  <si>
    <t>Unturned</t>
  </si>
  <si>
    <t>Upload Labs</t>
  </si>
  <si>
    <t>V Rising</t>
  </si>
  <si>
    <t>Valheim</t>
  </si>
  <si>
    <t>Vampire Crawlers: The Turbo Wildcard from Vampire Survivors</t>
  </si>
  <si>
    <t>Vampire Survivors</t>
  </si>
  <si>
    <t>VEIN</t>
  </si>
  <si>
    <t>Victoria 3</t>
  </si>
  <si>
    <t>VPet-Simulator</t>
  </si>
  <si>
    <t>VRChat</t>
  </si>
  <si>
    <t>VTube Studio</t>
  </si>
  <si>
    <t>Wallpaper Engine</t>
  </si>
  <si>
    <t>Wallpaper Play</t>
  </si>
  <si>
    <t>Wandering Sword</t>
  </si>
  <si>
    <t>War Robots</t>
  </si>
  <si>
    <t>War Thunder</t>
  </si>
  <si>
    <t>Warborne Above Ashes</t>
  </si>
  <si>
    <t>Warframe</t>
  </si>
  <si>
    <t>Warhammer 40,000: Chaos Gate - Daemonhunters</t>
  </si>
  <si>
    <t>Warhammer 40,000: Darktide</t>
  </si>
  <si>
    <t>Warhammer 40,000: Dawn of War - Definitive Edition</t>
  </si>
  <si>
    <t>Warhammer 40,000: Dawn of War II: Retribution</t>
  </si>
  <si>
    <t>Warhammer 40,000: Gladius - Relics of War</t>
  </si>
  <si>
    <t>Warhammer 40,000: Rogue Trader</t>
  </si>
  <si>
    <t>Warhammer 40,000: Space Marine 2</t>
  </si>
  <si>
    <t>Warhammer: Vermintide 2</t>
  </si>
  <si>
    <t>WARNO</t>
  </si>
  <si>
    <t>Wartales</t>
  </si>
  <si>
    <t>Wasteland 3</t>
  </si>
  <si>
    <t>Watch_Dogs® 2</t>
  </si>
  <si>
    <t>Watch_Dogs™</t>
  </si>
  <si>
    <t>Wayfinder</t>
  </si>
  <si>
    <t>Where Winds Meet</t>
  </si>
  <si>
    <t>White Knuckle</t>
  </si>
  <si>
    <t>Windrose</t>
  </si>
  <si>
    <t>Winter Memories</t>
  </si>
  <si>
    <t>Witchfire</t>
  </si>
  <si>
    <t>With Your Coworker</t>
  </si>
  <si>
    <t>Wobbly Life</t>
  </si>
  <si>
    <t>Wolfenstein II: The New Colossus</t>
  </si>
  <si>
    <t>Wolfenstein: The New Order</t>
  </si>
  <si>
    <t>Workers &amp; Resources: Soviet Republic</t>
  </si>
  <si>
    <t>World of Sea Battle</t>
  </si>
  <si>
    <t>World of Tanks</t>
  </si>
  <si>
    <t>World of Tanks Blitz</t>
  </si>
  <si>
    <t>World of Warships</t>
  </si>
  <si>
    <t>World War Z</t>
  </si>
  <si>
    <t>WorldBox - God Simulator</t>
  </si>
  <si>
    <t>Wreckfest</t>
  </si>
  <si>
    <t>WUCHANG: Fallen Feathers</t>
  </si>
  <si>
    <t>Wuthering Waves</t>
  </si>
  <si>
    <t>X4: Foundations</t>
  </si>
  <si>
    <t>XCOM: Enemy Unknown</t>
  </si>
  <si>
    <t>XCOM® 2</t>
  </si>
  <si>
    <t>X-Plane 12</t>
  </si>
  <si>
    <t>XSOverlay</t>
  </si>
  <si>
    <t>YAPYAP</t>
  </si>
  <si>
    <t>YoloMouse - Cursor Changer</t>
  </si>
  <si>
    <t>Your Chronicle</t>
  </si>
  <si>
    <t>Yu-Gi-Oh! Duel Links</t>
  </si>
  <si>
    <t>Yu-Gi-Oh! Master Duel</t>
  </si>
  <si>
    <t>Zenless Zone Zero</t>
  </si>
  <si>
    <t>ZeroSpace</t>
  </si>
  <si>
    <t>ヘブンバーンズレッド</t>
  </si>
  <si>
    <t>小黑盒加速器</t>
  </si>
  <si>
    <t>觅长生</t>
  </si>
  <si>
    <t>鬼谷八荒 Tale of Immortal</t>
  </si>
  <si>
    <t>龙胤立志传</t>
  </si>
  <si>
    <t>4700</t>
  </si>
  <si>
    <t>8930</t>
  </si>
  <si>
    <t>400</t>
  </si>
  <si>
    <t>3910</t>
  </si>
  <si>
    <t/>
  </si>
  <si>
    <t>name</t>
  </si>
  <si>
    <t>appid</t>
  </si>
  <si>
    <t>releasedate</t>
  </si>
  <si>
    <t>is_free</t>
  </si>
  <si>
    <t>price_usd</t>
  </si>
  <si>
    <t>genre</t>
  </si>
  <si>
    <t>achievement_count</t>
  </si>
  <si>
    <t>developer</t>
  </si>
  <si>
    <t>publisher</t>
  </si>
  <si>
    <t>player_count</t>
  </si>
  <si>
    <t>review_score</t>
  </si>
  <si>
    <t>review_score_desc</t>
  </si>
  <si>
    <t>total_positive</t>
  </si>
  <si>
    <t>total_negative</t>
  </si>
  <si>
    <t>total_reviews</t>
  </si>
  <si>
    <t>570</t>
  </si>
  <si>
    <t>True</t>
  </si>
  <si>
    <t>Free To Play</t>
  </si>
  <si>
    <t>Valve</t>
  </si>
  <si>
    <t>Very Positive</t>
  </si>
  <si>
    <t>2676230</t>
  </si>
  <si>
    <t>False</t>
  </si>
  <si>
    <t>2868840</t>
  </si>
  <si>
    <t>Early Access</t>
  </si>
  <si>
    <t>Mega Crit</t>
  </si>
  <si>
    <t>4704690</t>
  </si>
  <si>
    <t>Casual</t>
  </si>
  <si>
    <t>lemorion_1224</t>
  </si>
  <si>
    <t>108600</t>
  </si>
  <si>
    <t>The Indie Stone</t>
  </si>
  <si>
    <t>1222670</t>
  </si>
  <si>
    <t>Maxis</t>
  </si>
  <si>
    <t>Electronic Arts</t>
  </si>
  <si>
    <t>1973530</t>
  </si>
  <si>
    <t>ProjectMoon</t>
  </si>
  <si>
    <t>892970</t>
  </si>
  <si>
    <t>Iron Gate AB</t>
  </si>
  <si>
    <t>Coffee Stain Publishing</t>
  </si>
  <si>
    <t>39210</t>
  </si>
  <si>
    <t>RPG</t>
  </si>
  <si>
    <t>Square Enix</t>
  </si>
  <si>
    <t>3513350</t>
  </si>
  <si>
    <t>KURO GAMES</t>
  </si>
  <si>
    <t>393380</t>
  </si>
  <si>
    <t>Strategy</t>
  </si>
  <si>
    <t>Offworld</t>
  </si>
  <si>
    <t>306130</t>
  </si>
  <si>
    <t>ZeniMax Online Studios</t>
  </si>
  <si>
    <t>Bethesda Softworks</t>
  </si>
  <si>
    <t>4425970</t>
  </si>
  <si>
    <t>Leyline</t>
  </si>
  <si>
    <t>1325860</t>
  </si>
  <si>
    <t>Video Production</t>
  </si>
  <si>
    <t>DenchiSoft</t>
  </si>
  <si>
    <t>1283970</t>
  </si>
  <si>
    <t>Game Development</t>
  </si>
  <si>
    <t>Dragonrise Games</t>
  </si>
  <si>
    <t>3041230</t>
  </si>
  <si>
    <t>Kraken Express</t>
  </si>
  <si>
    <t>4162040</t>
  </si>
  <si>
    <t>COGNOSPHERE PTE. LTD.</t>
  </si>
  <si>
    <t>1284210</t>
  </si>
  <si>
    <t>ArenaNet®</t>
  </si>
  <si>
    <t>2250040</t>
  </si>
  <si>
    <t>Utilities</t>
  </si>
  <si>
    <t>CenterPoint Gaming</t>
  </si>
  <si>
    <t>4508340</t>
  </si>
  <si>
    <t>Hotta Studio</t>
  </si>
  <si>
    <t>Perfect World Games</t>
  </si>
  <si>
    <t>1049590</t>
  </si>
  <si>
    <t>Nimble Neuron</t>
  </si>
  <si>
    <t>1962700</t>
  </si>
  <si>
    <t>Unknown Worlds Entertainment</t>
  </si>
  <si>
    <t>3557620</t>
  </si>
  <si>
    <t>NEXON Games</t>
  </si>
  <si>
    <t>NEXON Korea</t>
  </si>
  <si>
    <t>993090</t>
  </si>
  <si>
    <t>THS</t>
  </si>
  <si>
    <t>1009850</t>
  </si>
  <si>
    <t>OVRAS Team</t>
  </si>
  <si>
    <t>2325290</t>
  </si>
  <si>
    <t>thatgamecompany</t>
  </si>
  <si>
    <t>805550</t>
  </si>
  <si>
    <t>Sports</t>
  </si>
  <si>
    <t>Kunos Simulazioni</t>
  </si>
  <si>
    <t>505 Games</t>
  </si>
  <si>
    <t>1482520</t>
  </si>
  <si>
    <t>400040</t>
  </si>
  <si>
    <t>Web Publishing</t>
  </si>
  <si>
    <t>ShareX Team</t>
  </si>
  <si>
    <t>1118520</t>
  </si>
  <si>
    <t>Alex Massé and team</t>
  </si>
  <si>
    <t>Paralives Studio</t>
  </si>
  <si>
    <t>655500</t>
  </si>
  <si>
    <t>PiBoSo</t>
  </si>
  <si>
    <t>1594320</t>
  </si>
  <si>
    <t>MaFi Games</t>
  </si>
  <si>
    <t>632810</t>
  </si>
  <si>
    <t>Leppsoft</t>
  </si>
  <si>
    <t>1371980</t>
  </si>
  <si>
    <t>Moon Studios GmbH</t>
  </si>
  <si>
    <t>2661300</t>
  </si>
  <si>
    <t>Obsidian Entertainment</t>
  </si>
  <si>
    <t>Xbox Game Studios</t>
  </si>
  <si>
    <t>412220</t>
  </si>
  <si>
    <t>DDNet Team</t>
  </si>
  <si>
    <t>573090</t>
  </si>
  <si>
    <t>Simulation</t>
  </si>
  <si>
    <t>Geometa</t>
  </si>
  <si>
    <t>3844970</t>
  </si>
  <si>
    <t>Adventure</t>
  </si>
  <si>
    <t>Fobri</t>
  </si>
  <si>
    <t>2732960</t>
  </si>
  <si>
    <t>EA Pacific</t>
  </si>
  <si>
    <t>438040</t>
  </si>
  <si>
    <t>Playa Games GmbH</t>
  </si>
  <si>
    <t>669330</t>
  </si>
  <si>
    <t>Game River</t>
  </si>
  <si>
    <t>Dreamhaven</t>
  </si>
  <si>
    <t>Firaxis Games</t>
  </si>
  <si>
    <t>2K</t>
  </si>
  <si>
    <t>568220</t>
  </si>
  <si>
    <t>39510</t>
  </si>
  <si>
    <t>Piranha Bytes</t>
  </si>
  <si>
    <t>THQ Nordic</t>
  </si>
  <si>
    <t>1631270</t>
  </si>
  <si>
    <t>Creepy Jar</t>
  </si>
  <si>
    <t>1286220</t>
  </si>
  <si>
    <t>Triassic Games</t>
  </si>
  <si>
    <t>MicroProse Software</t>
  </si>
  <si>
    <t>544810</t>
  </si>
  <si>
    <t>1939 Games</t>
  </si>
  <si>
    <t>1068820</t>
  </si>
  <si>
    <t>Curtis English</t>
  </si>
  <si>
    <t>VoxelLoop Software Limited</t>
  </si>
  <si>
    <t>1419170</t>
  </si>
  <si>
    <t>Big Blue Bubble</t>
  </si>
  <si>
    <t>47890</t>
  </si>
  <si>
    <t>The Sims Studio</t>
  </si>
  <si>
    <t>2281730</t>
  </si>
  <si>
    <t>Alfa Bravo Inc</t>
  </si>
  <si>
    <t>1533390</t>
  </si>
  <si>
    <t>Another Axiom Inc.</t>
  </si>
  <si>
    <t>1066890</t>
  </si>
  <si>
    <t>Reiza Studios</t>
  </si>
  <si>
    <t>3553500</t>
  </si>
  <si>
    <t>Vladimir Khil</t>
  </si>
  <si>
    <t>212500</t>
  </si>
  <si>
    <t>Standing Stone Games</t>
  </si>
  <si>
    <t>Daybreak Game Company LLC</t>
  </si>
  <si>
    <t>1857950</t>
  </si>
  <si>
    <t>Ramjet Studios</t>
  </si>
  <si>
    <t>1805320</t>
  </si>
  <si>
    <t>Beartwigs</t>
  </si>
  <si>
    <t>Three Friends</t>
  </si>
  <si>
    <t>1154030</t>
  </si>
  <si>
    <t>Grimlore Games</t>
  </si>
  <si>
    <t>252530</t>
  </si>
  <si>
    <t>MR-Software GbR</t>
  </si>
  <si>
    <t>Aerosoft GmbH</t>
  </si>
  <si>
    <t>1840</t>
  </si>
  <si>
    <t>877280</t>
  </si>
  <si>
    <t>Joshua Chen</t>
  </si>
  <si>
    <t>Studio GPBeta</t>
  </si>
  <si>
    <t>2014780</t>
  </si>
  <si>
    <t>Laminar Research</t>
  </si>
  <si>
    <t>16900</t>
  </si>
  <si>
    <t>BlackFoot Studios</t>
  </si>
  <si>
    <t>975370</t>
  </si>
  <si>
    <t>Bay 12 Games</t>
  </si>
  <si>
    <t>Kitfox Games</t>
  </si>
  <si>
    <t>3092660</t>
  </si>
  <si>
    <t>BLUEPOCH GAMES CO., LIMITED</t>
  </si>
  <si>
    <t>1046930</t>
  </si>
  <si>
    <t>1782210</t>
  </si>
  <si>
    <t>Racing</t>
  </si>
  <si>
    <t>Dani</t>
  </si>
  <si>
    <t>20900</t>
  </si>
  <si>
    <t>CD PROJEKT RED</t>
  </si>
  <si>
    <t>899770</t>
  </si>
  <si>
    <t>Eleventh Hour Games</t>
  </si>
  <si>
    <t>1404210</t>
  </si>
  <si>
    <t>Rockstar Games</t>
  </si>
  <si>
    <t>3097560</t>
  </si>
  <si>
    <t>Curve Animation</t>
  </si>
  <si>
    <t>3834090</t>
  </si>
  <si>
    <t>Action</t>
  </si>
  <si>
    <t>Maison Bap</t>
  </si>
  <si>
    <t>799600</t>
  </si>
  <si>
    <t>Walternate Realities</t>
  </si>
  <si>
    <t>1201240</t>
  </si>
  <si>
    <t>KLab Inc.</t>
  </si>
  <si>
    <t>1276390</t>
  </si>
  <si>
    <t>Ninja Kiwi</t>
  </si>
  <si>
    <t>218230</t>
  </si>
  <si>
    <t>Rogue Planet Games</t>
  </si>
  <si>
    <t>Daybreak Game Company</t>
  </si>
  <si>
    <t>671860</t>
  </si>
  <si>
    <t>SgtOkiDoki</t>
  </si>
  <si>
    <t>80</t>
  </si>
  <si>
    <t>1714040</t>
  </si>
  <si>
    <t>Team Wood Games</t>
  </si>
  <si>
    <t>22370</t>
  </si>
  <si>
    <t>Bethesda Game Studios</t>
  </si>
  <si>
    <t>322170</t>
  </si>
  <si>
    <t>Indie</t>
  </si>
  <si>
    <t>RobTop Games</t>
  </si>
  <si>
    <t>3751950</t>
  </si>
  <si>
    <t>Ubisoft Singapore</t>
  </si>
  <si>
    <t>Ubisoft</t>
  </si>
  <si>
    <t>2300320</t>
  </si>
  <si>
    <t>GIANTS Software</t>
  </si>
  <si>
    <t>1366800</t>
  </si>
  <si>
    <t>1174180</t>
  </si>
  <si>
    <t>1808500</t>
  </si>
  <si>
    <t>Embark Studios</t>
  </si>
  <si>
    <t>2483190</t>
  </si>
  <si>
    <t>Playground Games</t>
  </si>
  <si>
    <t>553850</t>
  </si>
  <si>
    <t>Arrowhead Game Studios</t>
  </si>
  <si>
    <t>PlayStation Publishing LLC</t>
  </si>
  <si>
    <t>1304930</t>
  </si>
  <si>
    <t>Red Barrels</t>
  </si>
  <si>
    <t>3321460</t>
  </si>
  <si>
    <t>Pearl Abyss</t>
  </si>
  <si>
    <t>1326470</t>
  </si>
  <si>
    <t>Endnight Games Ltd</t>
  </si>
  <si>
    <t>Newnight</t>
  </si>
  <si>
    <t>244210</t>
  </si>
  <si>
    <t>582010</t>
  </si>
  <si>
    <t>CAPCOM Co., Ltd.</t>
  </si>
  <si>
    <t>739630</t>
  </si>
  <si>
    <t>Kinetic Games</t>
  </si>
  <si>
    <t>1364780</t>
  </si>
  <si>
    <t>945360</t>
  </si>
  <si>
    <t>Innersloth</t>
  </si>
  <si>
    <t>275850</t>
  </si>
  <si>
    <t>Hello Games</t>
  </si>
  <si>
    <t>1203620</t>
  </si>
  <si>
    <t>Keen Games GmbH</t>
  </si>
  <si>
    <t>1030300</t>
  </si>
  <si>
    <t>Team Cherry</t>
  </si>
  <si>
    <t>1248130</t>
  </si>
  <si>
    <t>648800</t>
  </si>
  <si>
    <t>Redbeet Interactive</t>
  </si>
  <si>
    <t>Axolot Games</t>
  </si>
  <si>
    <t>1943950</t>
  </si>
  <si>
    <t>Fancy Games</t>
  </si>
  <si>
    <t>Secret Mode</t>
  </si>
  <si>
    <t>3105440</t>
  </si>
  <si>
    <t>Unfrozen</t>
  </si>
  <si>
    <t>Hooded Horse</t>
  </si>
  <si>
    <t>3059520</t>
  </si>
  <si>
    <t>Codemasters</t>
  </si>
  <si>
    <t>447040</t>
  </si>
  <si>
    <t>1172620</t>
  </si>
  <si>
    <t>Rare Ltd</t>
  </si>
  <si>
    <t>1363080</t>
  </si>
  <si>
    <t>Slavic Magic</t>
  </si>
  <si>
    <t>4210580</t>
  </si>
  <si>
    <t>threeW</t>
  </si>
  <si>
    <t>PlayWay S.A.</t>
  </si>
  <si>
    <t>12210</t>
  </si>
  <si>
    <t>Rockstar North</t>
  </si>
  <si>
    <t>1604030</t>
  </si>
  <si>
    <t>Massively Multiplayer</t>
  </si>
  <si>
    <t>Stunlock Studios</t>
  </si>
  <si>
    <t>311210</t>
  </si>
  <si>
    <t>Treyarch</t>
  </si>
  <si>
    <t>Activision</t>
  </si>
  <si>
    <t>1551360</t>
  </si>
  <si>
    <t>1374490</t>
  </si>
  <si>
    <t>Jagex Ltd</t>
  </si>
  <si>
    <t>1238840</t>
  </si>
  <si>
    <t>DICE</t>
  </si>
  <si>
    <t>4197610</t>
  </si>
  <si>
    <t>ArtRising</t>
  </si>
  <si>
    <t>1465360</t>
  </si>
  <si>
    <t>Saber Interactive</t>
  </si>
  <si>
    <t>Focus Entertainment</t>
  </si>
  <si>
    <t>3892270</t>
  </si>
  <si>
    <t>TEAM GWYF</t>
  </si>
  <si>
    <t>TENSTACK</t>
  </si>
  <si>
    <t>2968420</t>
  </si>
  <si>
    <t>FuturLab</t>
  </si>
  <si>
    <t>2209900</t>
  </si>
  <si>
    <t>Little Chicken</t>
  </si>
  <si>
    <t>XSEED Games</t>
  </si>
  <si>
    <t>1401590</t>
  </si>
  <si>
    <t>Gameloft</t>
  </si>
  <si>
    <t>1446780</t>
  </si>
  <si>
    <t>4380490</t>
  </si>
  <si>
    <t>Maracas Studio</t>
  </si>
  <si>
    <t>1659040</t>
  </si>
  <si>
    <t>IO Interactive A/S</t>
  </si>
  <si>
    <t>518790</t>
  </si>
  <si>
    <t>Expansive Worlds</t>
  </si>
  <si>
    <t>Avalanche Studios</t>
  </si>
  <si>
    <t>2215430</t>
  </si>
  <si>
    <t>Sucker Punch Productions</t>
  </si>
  <si>
    <t>814380</t>
  </si>
  <si>
    <t>FromSoftware, Inc.</t>
  </si>
  <si>
    <t>Activision (Excluding Japan and Asia)</t>
  </si>
  <si>
    <t>374320</t>
  </si>
  <si>
    <t>815370</t>
  </si>
  <si>
    <t>2670630</t>
  </si>
  <si>
    <t>Nokta Games</t>
  </si>
  <si>
    <t>232090</t>
  </si>
  <si>
    <t>Tripwire Interactive</t>
  </si>
  <si>
    <t>3405340</t>
  </si>
  <si>
    <t>vedinad</t>
  </si>
  <si>
    <t>3017860</t>
  </si>
  <si>
    <t>id Software</t>
  </si>
  <si>
    <t>3949040</t>
  </si>
  <si>
    <t>Nuggets Entertainment</t>
  </si>
  <si>
    <t>976730</t>
  </si>
  <si>
    <t>343 Industries</t>
  </si>
  <si>
    <t>3065800</t>
  </si>
  <si>
    <t>Bungie</t>
  </si>
  <si>
    <t>454650</t>
  </si>
  <si>
    <t>QLOC</t>
  </si>
  <si>
    <t>Bandai Namco Entertainment</t>
  </si>
  <si>
    <t>1190970</t>
  </si>
  <si>
    <t>Frozen District</t>
  </si>
  <si>
    <t>1129580</t>
  </si>
  <si>
    <t>Render Cube</t>
  </si>
  <si>
    <t>Toplitz Productions</t>
  </si>
  <si>
    <t>387990</t>
  </si>
  <si>
    <t>298110</t>
  </si>
  <si>
    <t>Ubisoft Montreal, Red Storm, Shanghai, Toronto, Kiev</t>
  </si>
  <si>
    <t>1621690</t>
  </si>
  <si>
    <t>Pugstorm</t>
  </si>
  <si>
    <t>Fireshine Games</t>
  </si>
  <si>
    <t>3768760</t>
  </si>
  <si>
    <t>962130</t>
  </si>
  <si>
    <t>2651280</t>
  </si>
  <si>
    <t>Insomniac Games</t>
  </si>
  <si>
    <t>1783560</t>
  </si>
  <si>
    <t>Channel37 Ltd</t>
  </si>
  <si>
    <t>1477830</t>
  </si>
  <si>
    <t>Eduard Kozadaev</t>
  </si>
  <si>
    <t>552520</t>
  </si>
  <si>
    <t>Ubisoft Montreal</t>
  </si>
  <si>
    <t>1260320</t>
  </si>
  <si>
    <t>Recreate Games</t>
  </si>
  <si>
    <t>Source Technology</t>
  </si>
  <si>
    <t>1259420</t>
  </si>
  <si>
    <t>Bend Studio</t>
  </si>
  <si>
    <t>4069520</t>
  </si>
  <si>
    <t>Brimstone</t>
  </si>
  <si>
    <t>Oro Interactive</t>
  </si>
  <si>
    <t>2881650</t>
  </si>
  <si>
    <t>Zorro</t>
  </si>
  <si>
    <t>Evil Landfall?</t>
  </si>
  <si>
    <t>3280350</t>
  </si>
  <si>
    <t>KOJIMA PRODUCTIONS</t>
  </si>
  <si>
    <t>570940</t>
  </si>
  <si>
    <t>2567870</t>
  </si>
  <si>
    <t>Anegar Games</t>
  </si>
  <si>
    <t>824270</t>
  </si>
  <si>
    <t>KovaaK Games</t>
  </si>
  <si>
    <t>2531310</t>
  </si>
  <si>
    <t>Naughty Dog LLC</t>
  </si>
  <si>
    <t>3712080</t>
  </si>
  <si>
    <t>Supernova Studios LLC</t>
  </si>
  <si>
    <t>613100</t>
  </si>
  <si>
    <t>Empyrean</t>
  </si>
  <si>
    <t>208650</t>
  </si>
  <si>
    <t>Rocksteady Studios</t>
  </si>
  <si>
    <t>WB Games</t>
  </si>
  <si>
    <t>2141730</t>
  </si>
  <si>
    <t>Triiodide Studios</t>
  </si>
  <si>
    <t>2432860</t>
  </si>
  <si>
    <t>Overhype Studios</t>
  </si>
  <si>
    <t>728880</t>
  </si>
  <si>
    <t>Ghost Town Games Ltd.</t>
  </si>
  <si>
    <t>Team17</t>
  </si>
  <si>
    <t>1805110</t>
  </si>
  <si>
    <t>Cyberwave</t>
  </si>
  <si>
    <t>rokaplay</t>
  </si>
  <si>
    <t>585420</t>
  </si>
  <si>
    <t>Flashbulb</t>
  </si>
  <si>
    <t>1824220</t>
  </si>
  <si>
    <t>Torn Banner Studios</t>
  </si>
  <si>
    <t>Tripwire Presents</t>
  </si>
  <si>
    <t>1888930</t>
  </si>
  <si>
    <t>312520</t>
  </si>
  <si>
    <t>Videocult</t>
  </si>
  <si>
    <t>Akupara Games</t>
  </si>
  <si>
    <t>599140</t>
  </si>
  <si>
    <t>Lazy Bear Games</t>
  </si>
  <si>
    <t>tinyBuild</t>
  </si>
  <si>
    <t>1601570</t>
  </si>
  <si>
    <t>11 bit studios</t>
  </si>
  <si>
    <t>4643090</t>
  </si>
  <si>
    <t>Nino Games</t>
  </si>
  <si>
    <t xml:space="preserve"> Nino Games</t>
  </si>
  <si>
    <t>1173510</t>
  </si>
  <si>
    <t>Xiexe</t>
  </si>
  <si>
    <t>495420</t>
  </si>
  <si>
    <t>Undead Labs</t>
  </si>
  <si>
    <t>516750</t>
  </si>
  <si>
    <t>Amistech Games</t>
  </si>
  <si>
    <t>880940</t>
  </si>
  <si>
    <t>Rebuilt Games</t>
  </si>
  <si>
    <t>1196590</t>
  </si>
  <si>
    <t>2799860</t>
  </si>
  <si>
    <t>LEVEL5 Inc.</t>
  </si>
  <si>
    <t>1384160</t>
  </si>
  <si>
    <t>Arc System Works</t>
  </si>
  <si>
    <t>787860</t>
  </si>
  <si>
    <t>784080</t>
  </si>
  <si>
    <t>Piranha Games Inc.</t>
  </si>
  <si>
    <t>1237950</t>
  </si>
  <si>
    <t>287700</t>
  </si>
  <si>
    <t>KONAMI</t>
  </si>
  <si>
    <t>391220</t>
  </si>
  <si>
    <t>Crystal Dynamics</t>
  </si>
  <si>
    <t>976310</t>
  </si>
  <si>
    <t>NetherRealm Studios</t>
  </si>
  <si>
    <t>Warner Bros. Games</t>
  </si>
  <si>
    <t>1222680</t>
  </si>
  <si>
    <t>Ghost Games</t>
  </si>
  <si>
    <t>2071280</t>
  </si>
  <si>
    <t>Passtech Games</t>
  </si>
  <si>
    <t>Nacon</t>
  </si>
  <si>
    <t>1029690</t>
  </si>
  <si>
    <t>Rebellion</t>
  </si>
  <si>
    <t>3213850</t>
  </si>
  <si>
    <t>ambr</t>
  </si>
  <si>
    <t>1449560</t>
  </si>
  <si>
    <t>4A Games</t>
  </si>
  <si>
    <t>Deep Silver</t>
  </si>
  <si>
    <t>2904000</t>
  </si>
  <si>
    <t>Bolt Blaster Games</t>
  </si>
  <si>
    <t>361420</t>
  </si>
  <si>
    <t>System Era Softworks</t>
  </si>
  <si>
    <t>782330</t>
  </si>
  <si>
    <t>4731620</t>
  </si>
  <si>
    <t>Lavaflame2</t>
  </si>
  <si>
    <t>286690</t>
  </si>
  <si>
    <t>1787090</t>
  </si>
  <si>
    <t>3819640</t>
  </si>
  <si>
    <t>Yolo Games Studio</t>
  </si>
  <si>
    <t>1850570</t>
  </si>
  <si>
    <t xml:space="preserve"> 505 Games</t>
  </si>
  <si>
    <t>412020</t>
  </si>
  <si>
    <t>3400960</t>
  </si>
  <si>
    <t>Bocary Studios</t>
  </si>
  <si>
    <t>Alibi Games</t>
  </si>
  <si>
    <t>1162750</t>
  </si>
  <si>
    <t>Gamatron AB</t>
  </si>
  <si>
    <t>2000950</t>
  </si>
  <si>
    <t>Infinity Ward</t>
  </si>
  <si>
    <t>2424010</t>
  </si>
  <si>
    <t>Dansan Digital</t>
  </si>
  <si>
    <t>418370</t>
  </si>
  <si>
    <t>4244510</t>
  </si>
  <si>
    <t>Quad Head</t>
  </si>
  <si>
    <t>1913370</t>
  </si>
  <si>
    <t>VECTOR INTERACTIVE PTY LTD</t>
  </si>
  <si>
    <t>1693980</t>
  </si>
  <si>
    <t>Motive</t>
  </si>
  <si>
    <t>431240</t>
  </si>
  <si>
    <t>Blacklight Interactive</t>
  </si>
  <si>
    <t>2321470</t>
  </si>
  <si>
    <t>Funday Games</t>
  </si>
  <si>
    <t>Ghost Ship Publishing</t>
  </si>
  <si>
    <t>21690</t>
  </si>
  <si>
    <t>70</t>
  </si>
  <si>
    <t>Capcom</t>
  </si>
  <si>
    <t>2124120</t>
  </si>
  <si>
    <t>Perfect Random</t>
  </si>
  <si>
    <t>581320</t>
  </si>
  <si>
    <t>New World Interactive</t>
  </si>
  <si>
    <t>1659420</t>
  </si>
  <si>
    <t>242050</t>
  </si>
  <si>
    <t>2418520</t>
  </si>
  <si>
    <t>Milkstone Studios</t>
  </si>
  <si>
    <t>2784470</t>
  </si>
  <si>
    <t>Sad Socket</t>
  </si>
  <si>
    <t>203160</t>
  </si>
  <si>
    <t>2080690</t>
  </si>
  <si>
    <t>Vector3 Studio</t>
  </si>
  <si>
    <t>1645820</t>
  </si>
  <si>
    <t>Zurvivor</t>
  </si>
  <si>
    <t>PlaySurrounDead</t>
  </si>
  <si>
    <t>699130</t>
  </si>
  <si>
    <t>Saber Interactive Inc</t>
  </si>
  <si>
    <t>2124490</t>
  </si>
  <si>
    <t>Bloober Team SA</t>
  </si>
  <si>
    <t>202990</t>
  </si>
  <si>
    <t>3156770</t>
  </si>
  <si>
    <t>The Astronauts</t>
  </si>
  <si>
    <t>631510</t>
  </si>
  <si>
    <t>1888160</t>
  </si>
  <si>
    <t>1238860</t>
  </si>
  <si>
    <t>220240</t>
  </si>
  <si>
    <t>Ubisoft Montreal, Massive Entertainment, and Ubisoft Shanghai</t>
  </si>
  <si>
    <t>1172380</t>
  </si>
  <si>
    <t>Respawn Entertainment</t>
  </si>
  <si>
    <t>1369670</t>
  </si>
  <si>
    <t>P3 Games</t>
  </si>
  <si>
    <t>1657630</t>
  </si>
  <si>
    <t>Monomi Park</t>
  </si>
  <si>
    <t>234140</t>
  </si>
  <si>
    <t>752590</t>
  </si>
  <si>
    <t>Asobo Studio</t>
  </si>
  <si>
    <t>228380</t>
  </si>
  <si>
    <t>Bugbear</t>
  </si>
  <si>
    <t>1583320</t>
  </si>
  <si>
    <t>Skywall Studios LLC</t>
  </si>
  <si>
    <t>493520</t>
  </si>
  <si>
    <t>10 Chambers</t>
  </si>
  <si>
    <t>750920</t>
  </si>
  <si>
    <t>Eidos-Montréal</t>
  </si>
  <si>
    <t>1465460</t>
  </si>
  <si>
    <t>Jutsu Games</t>
  </si>
  <si>
    <t>Games Operators</t>
  </si>
  <si>
    <t>1757300</t>
  </si>
  <si>
    <t>Keepsake Games</t>
  </si>
  <si>
    <t>287390</t>
  </si>
  <si>
    <t>952060</t>
  </si>
  <si>
    <t>774361</t>
  </si>
  <si>
    <t>The Game Kitchen</t>
  </si>
  <si>
    <t>1084600</t>
  </si>
  <si>
    <t>Pathea Games</t>
  </si>
  <si>
    <t>2114740</t>
  </si>
  <si>
    <t>848450</t>
  </si>
  <si>
    <t>2668510</t>
  </si>
  <si>
    <t>1817190</t>
  </si>
  <si>
    <t>645630</t>
  </si>
  <si>
    <t>Red Dot Games</t>
  </si>
  <si>
    <t>1432860</t>
  </si>
  <si>
    <t>Pixel Sprout Studios</t>
  </si>
  <si>
    <t>1030840</t>
  </si>
  <si>
    <t>Hangar 13</t>
  </si>
  <si>
    <t>312660</t>
  </si>
  <si>
    <t>1898300</t>
  </si>
  <si>
    <t>Sand Sailor Studio</t>
  </si>
  <si>
    <t>Thunderful Publishing</t>
  </si>
  <si>
    <t>225540</t>
  </si>
  <si>
    <t>1062520</t>
  </si>
  <si>
    <t>James Bendon</t>
  </si>
  <si>
    <t>KRAFTON, Inc.</t>
  </si>
  <si>
    <t>389730</t>
  </si>
  <si>
    <t>Bandai Namco Studios Inc.</t>
  </si>
  <si>
    <t>2119830</t>
  </si>
  <si>
    <t>Platypus Entertainment</t>
  </si>
  <si>
    <t>Ytopia</t>
  </si>
  <si>
    <t>535930</t>
  </si>
  <si>
    <t>Two Point Studios</t>
  </si>
  <si>
    <t>SEGA</t>
  </si>
  <si>
    <t>403640</t>
  </si>
  <si>
    <t>Arkane Studios</t>
  </si>
  <si>
    <t>1790600</t>
  </si>
  <si>
    <t>Spike Chunsoft Co., Ltd.</t>
  </si>
  <si>
    <t>209000</t>
  </si>
  <si>
    <t>WB Games Montreal</t>
  </si>
  <si>
    <t>Warner Bros. Interactive Entertainment</t>
  </si>
  <si>
    <t>2336220</t>
  </si>
  <si>
    <t>Vambear Games</t>
  </si>
  <si>
    <t>IndieArk</t>
  </si>
  <si>
    <t>1274570</t>
  </si>
  <si>
    <t>Straight Back Games</t>
  </si>
  <si>
    <t>1331550</t>
  </si>
  <si>
    <t>Hovgaard Games</t>
  </si>
  <si>
    <t>920210</t>
  </si>
  <si>
    <t>TT Games</t>
  </si>
  <si>
    <t>371660</t>
  </si>
  <si>
    <t>502500</t>
  </si>
  <si>
    <t>241930</t>
  </si>
  <si>
    <t>Monolith Productions</t>
  </si>
  <si>
    <t>4164420</t>
  </si>
  <si>
    <t>2416450</t>
  </si>
  <si>
    <t>Fumi Games</t>
  </si>
  <si>
    <t>PlaySide</t>
  </si>
  <si>
    <t>2677660</t>
  </si>
  <si>
    <t>MachineGames</t>
  </si>
  <si>
    <t>629760</t>
  </si>
  <si>
    <t>Triternion</t>
  </si>
  <si>
    <t>678950</t>
  </si>
  <si>
    <t>2488370</t>
  </si>
  <si>
    <t>Mind Control Games</t>
  </si>
  <si>
    <t>Forklift Interactive</t>
  </si>
  <si>
    <t>42700</t>
  </si>
  <si>
    <t>1336980</t>
  </si>
  <si>
    <t>KOEI TECMO GAMES CO., LTD.</t>
  </si>
  <si>
    <t>1948980</t>
  </si>
  <si>
    <t>半瓶醋工作室（Half Amateur Studio）</t>
  </si>
  <si>
    <t>XD</t>
  </si>
  <si>
    <t>2129530</t>
  </si>
  <si>
    <t>Tarsier Studios</t>
  </si>
  <si>
    <t>274170</t>
  </si>
  <si>
    <t>Dennaton Games</t>
  </si>
  <si>
    <t>Devolver Digital</t>
  </si>
  <si>
    <t>2947440</t>
  </si>
  <si>
    <t>NeoBards Entertainment Ltd.</t>
  </si>
  <si>
    <t>1857090</t>
  </si>
  <si>
    <t>Long Jaunt</t>
  </si>
  <si>
    <t>1875580</t>
  </si>
  <si>
    <t>Yacht Club Games</t>
  </si>
  <si>
    <t>4800590</t>
  </si>
  <si>
    <t>BunnyHop</t>
  </si>
  <si>
    <t>BunnyHopHome</t>
  </si>
  <si>
    <t>201810</t>
  </si>
  <si>
    <t>1210320</t>
  </si>
  <si>
    <t>niceplay games</t>
  </si>
  <si>
    <t>972660</t>
  </si>
  <si>
    <t>Thunder Lotus</t>
  </si>
  <si>
    <t>203140</t>
  </si>
  <si>
    <t>Io-Interactive A/S</t>
  </si>
  <si>
    <t>447020</t>
  </si>
  <si>
    <t>1458140</t>
  </si>
  <si>
    <t>Ironwood Studios</t>
  </si>
  <si>
    <t>Kepler Interactive</t>
  </si>
  <si>
    <t>1592190</t>
  </si>
  <si>
    <t>Stress Level Zero</t>
  </si>
  <si>
    <t>774171</t>
  </si>
  <si>
    <t>peropero</t>
  </si>
  <si>
    <t>hasuhasu</t>
  </si>
  <si>
    <t>1475810</t>
  </si>
  <si>
    <t>Tango Gameworks</t>
  </si>
  <si>
    <t>2253100</t>
  </si>
  <si>
    <t>10</t>
  </si>
  <si>
    <t>Enjoy Studio S.A.</t>
  </si>
  <si>
    <t>Bohemia Interactive</t>
  </si>
  <si>
    <t>2486820</t>
  </si>
  <si>
    <t>Sonic Team</t>
  </si>
  <si>
    <t>3167550</t>
  </si>
  <si>
    <t>CaveLiquid</t>
  </si>
  <si>
    <t>Gamersky Games</t>
  </si>
  <si>
    <t>8870</t>
  </si>
  <si>
    <t>Irrational Games</t>
  </si>
  <si>
    <t>2201320</t>
  </si>
  <si>
    <t>Sassy Chap Games</t>
  </si>
  <si>
    <t>480490</t>
  </si>
  <si>
    <t>2408820</t>
  </si>
  <si>
    <t>Feel Free Games</t>
  </si>
  <si>
    <t>10180</t>
  </si>
  <si>
    <t>214490</t>
  </si>
  <si>
    <t>CREATIVE ASSEMBLY</t>
  </si>
  <si>
    <t>1583230</t>
  </si>
  <si>
    <t>Squanch Games, Inc.</t>
  </si>
  <si>
    <t>10190</t>
  </si>
  <si>
    <t>346010</t>
  </si>
  <si>
    <t>Spiderling Studios</t>
  </si>
  <si>
    <t>2273430</t>
  </si>
  <si>
    <t>91Act</t>
  </si>
  <si>
    <t>2289750</t>
  </si>
  <si>
    <t>Super Fantasy Games</t>
  </si>
  <si>
    <t>751780</t>
  </si>
  <si>
    <t>HopFrog</t>
  </si>
  <si>
    <t>Balor Games</t>
  </si>
  <si>
    <t>3020510</t>
  </si>
  <si>
    <t>Free Wing</t>
  </si>
  <si>
    <t>42680</t>
  </si>
  <si>
    <t>1588550</t>
  </si>
  <si>
    <t>The Game Bakers</t>
  </si>
  <si>
    <t>666140</t>
  </si>
  <si>
    <t>252490</t>
  </si>
  <si>
    <t>Facepunch Studios</t>
  </si>
  <si>
    <t>1091500</t>
  </si>
  <si>
    <t>218620</t>
  </si>
  <si>
    <t>OVERKILL - a Starbreeze Studio.</t>
  </si>
  <si>
    <t>Starbreeze Entertainment</t>
  </si>
  <si>
    <t>1245620</t>
  </si>
  <si>
    <t>881020</t>
  </si>
  <si>
    <t>Cygames, Inc.</t>
  </si>
  <si>
    <t>489830</t>
  </si>
  <si>
    <t>1771300</t>
  </si>
  <si>
    <t>Warhorse Studios</t>
  </si>
  <si>
    <t>2183900</t>
  </si>
  <si>
    <t>2622380</t>
  </si>
  <si>
    <t>377160</t>
  </si>
  <si>
    <t>1297900</t>
  </si>
  <si>
    <t>Alkimia Interactive</t>
  </si>
  <si>
    <t>990080</t>
  </si>
  <si>
    <t>Avalanche Software</t>
  </si>
  <si>
    <t>2358720</t>
  </si>
  <si>
    <t>Game Science</t>
  </si>
  <si>
    <t>379430</t>
  </si>
  <si>
    <t>812140</t>
  </si>
  <si>
    <t>Ubisoft Quebec</t>
  </si>
  <si>
    <t>219990</t>
  </si>
  <si>
    <t>Crate Entertainment</t>
  </si>
  <si>
    <t>239140</t>
  </si>
  <si>
    <t>Techland</t>
  </si>
  <si>
    <t>2322010</t>
  </si>
  <si>
    <t>Santa Monica Studio</t>
  </si>
  <si>
    <t>1328670</t>
  </si>
  <si>
    <t>BioWare</t>
  </si>
  <si>
    <t>371970</t>
  </si>
  <si>
    <t>Turning Wheel LLC</t>
  </si>
  <si>
    <t>1267910</t>
  </si>
  <si>
    <t>Games by Malcs</t>
  </si>
  <si>
    <t>730</t>
  </si>
  <si>
    <t>2420110</t>
  </si>
  <si>
    <t>Guerrilla</t>
  </si>
  <si>
    <t>1462040</t>
  </si>
  <si>
    <t>552500</t>
  </si>
  <si>
    <t>Fatshark</t>
  </si>
  <si>
    <t>3008130</t>
  </si>
  <si>
    <t>2552430</t>
  </si>
  <si>
    <t>49520</t>
  </si>
  <si>
    <t>Gearbox Software</t>
  </si>
  <si>
    <t>1466060</t>
  </si>
  <si>
    <t>Questline</t>
  </si>
  <si>
    <t>Awaken Realms</t>
  </si>
  <si>
    <t>3167020</t>
  </si>
  <si>
    <t>Team Soda</t>
  </si>
  <si>
    <t>bilibili</t>
  </si>
  <si>
    <t>397540</t>
  </si>
  <si>
    <t>2679460</t>
  </si>
  <si>
    <t>ATLUS</t>
  </si>
  <si>
    <t>2445690</t>
  </si>
  <si>
    <t>Hunter Studio</t>
  </si>
  <si>
    <t>632470</t>
  </si>
  <si>
    <t>ZA/UM</t>
  </si>
  <si>
    <t>1282100</t>
  </si>
  <si>
    <t>Gunfire Games</t>
  </si>
  <si>
    <t>Arc Games</t>
  </si>
  <si>
    <t>356190</t>
  </si>
  <si>
    <t>1984270</t>
  </si>
  <si>
    <t>Media.Vision Inc.</t>
  </si>
  <si>
    <t>Bandai Namco Entertainment Inc.</t>
  </si>
  <si>
    <t>335300</t>
  </si>
  <si>
    <t>582160</t>
  </si>
  <si>
    <t>1627720</t>
  </si>
  <si>
    <t>NEOWIZ</t>
  </si>
  <si>
    <t>72850</t>
  </si>
  <si>
    <t>3959890</t>
  </si>
  <si>
    <t>Turtle Knight Games</t>
  </si>
  <si>
    <t>Irox Games</t>
  </si>
  <si>
    <t>211820</t>
  </si>
  <si>
    <t>Chucklefish</t>
  </si>
  <si>
    <t>359870</t>
  </si>
  <si>
    <t>475150</t>
  </si>
  <si>
    <t>Iron Lore Entertainment</t>
  </si>
  <si>
    <t>524220</t>
  </si>
  <si>
    <t>2680010</t>
  </si>
  <si>
    <t>Neople</t>
  </si>
  <si>
    <t>NEXON</t>
  </si>
  <si>
    <t>1875830</t>
  </si>
  <si>
    <t>1971650</t>
  </si>
  <si>
    <t>20920</t>
  </si>
  <si>
    <t>3681010</t>
  </si>
  <si>
    <t>2072450</t>
  </si>
  <si>
    <t>RGG Studio</t>
  </si>
  <si>
    <t>2993780</t>
  </si>
  <si>
    <t>768200</t>
  </si>
  <si>
    <t>Merge Games</t>
  </si>
  <si>
    <t>Maximum Entertainment</t>
  </si>
  <si>
    <t>1169040</t>
  </si>
  <si>
    <t>Fair Games ApS</t>
  </si>
  <si>
    <t>1325200</t>
  </si>
  <si>
    <t>2852190</t>
  </si>
  <si>
    <t>637650</t>
  </si>
  <si>
    <t>2066020</t>
  </si>
  <si>
    <t>Game Smithing Limited</t>
  </si>
  <si>
    <t>367500</t>
  </si>
  <si>
    <t>291650</t>
  </si>
  <si>
    <t>851850</t>
  </si>
  <si>
    <t>CyberConnect2 Co. Ltd.</t>
  </si>
  <si>
    <t>678960</t>
  </si>
  <si>
    <t>Bandai Namco Studios</t>
  </si>
  <si>
    <t>617290</t>
  </si>
  <si>
    <t>560130</t>
  </si>
  <si>
    <t>Versus Evil</t>
  </si>
  <si>
    <t>619820</t>
  </si>
  <si>
    <t>Crackshell</t>
  </si>
  <si>
    <t>488790</t>
  </si>
  <si>
    <t>Ubisoft San Francisco</t>
  </si>
  <si>
    <t>3014320</t>
  </si>
  <si>
    <t>113200</t>
  </si>
  <si>
    <t>Edmund McMillen</t>
  </si>
  <si>
    <t>200710</t>
  </si>
  <si>
    <t>Runic Games</t>
  </si>
  <si>
    <t>271590</t>
  </si>
  <si>
    <t>230410</t>
  </si>
  <si>
    <t>Digital Extremes</t>
  </si>
  <si>
    <t>440</t>
  </si>
  <si>
    <t>359550</t>
  </si>
  <si>
    <t>1203220</t>
  </si>
  <si>
    <t>24 Entertainment</t>
  </si>
  <si>
    <t>NetEase Games</t>
  </si>
  <si>
    <t>252950</t>
  </si>
  <si>
    <t>Psyonix LLC</t>
  </si>
  <si>
    <t>2073850</t>
  </si>
  <si>
    <t>3564740</t>
  </si>
  <si>
    <t>Everstone Studio</t>
  </si>
  <si>
    <t>304930</t>
  </si>
  <si>
    <t>Smartly Dressed Games</t>
  </si>
  <si>
    <t>2763740</t>
  </si>
  <si>
    <t>Oni Gaming</t>
  </si>
  <si>
    <t>1952920</t>
  </si>
  <si>
    <t>Oddshot Games</t>
  </si>
  <si>
    <t>2709570</t>
  </si>
  <si>
    <t>DeadDevsTellNoLies</t>
  </si>
  <si>
    <t>238960</t>
  </si>
  <si>
    <t>Grinding Gear Games</t>
  </si>
  <si>
    <t>3224770</t>
  </si>
  <si>
    <t>2707930</t>
  </si>
  <si>
    <t>Singularity 6 Corporation</t>
  </si>
  <si>
    <t>552990</t>
  </si>
  <si>
    <t>Wargaming Group Limited</t>
  </si>
  <si>
    <t>700330</t>
  </si>
  <si>
    <t>Northwood Studios</t>
  </si>
  <si>
    <t>977400</t>
  </si>
  <si>
    <t>Computer Lunch</t>
  </si>
  <si>
    <t>380600</t>
  </si>
  <si>
    <t>Fishing Planet LLC</t>
  </si>
  <si>
    <t>1568590</t>
  </si>
  <si>
    <t>Gaggle Studios, Inc.</t>
  </si>
  <si>
    <t>2471100</t>
  </si>
  <si>
    <t>Sylv</t>
  </si>
  <si>
    <t>Jdog Corp</t>
  </si>
  <si>
    <t>714010</t>
  </si>
  <si>
    <t>Statespace</t>
  </si>
  <si>
    <t>1286830</t>
  </si>
  <si>
    <t>Broadsword</t>
  </si>
  <si>
    <t>933110</t>
  </si>
  <si>
    <t>World's Edge</t>
  </si>
  <si>
    <t>1677740</t>
  </si>
  <si>
    <t>Scopely</t>
  </si>
  <si>
    <t>3861430</t>
  </si>
  <si>
    <t>Ramen Cat Studio</t>
  </si>
  <si>
    <t>Hide Games</t>
  </si>
  <si>
    <t>1343400</t>
  </si>
  <si>
    <t>1546320</t>
  </si>
  <si>
    <t>Samurai Games</t>
  </si>
  <si>
    <t>1904540</t>
  </si>
  <si>
    <t>Sports Interactive</t>
  </si>
  <si>
    <t>34330</t>
  </si>
  <si>
    <t>The Creative Assembly</t>
  </si>
  <si>
    <t>588430</t>
  </si>
  <si>
    <t>363970</t>
  </si>
  <si>
    <t>Playsaurus</t>
  </si>
  <si>
    <t>1197260</t>
  </si>
  <si>
    <t>Fire Sword Studios</t>
  </si>
  <si>
    <t>1293830</t>
  </si>
  <si>
    <t>203770</t>
  </si>
  <si>
    <t>Paradox Development Studio</t>
  </si>
  <si>
    <t>Paradox Interactive</t>
  </si>
  <si>
    <t>2897580</t>
  </si>
  <si>
    <t>Swell Games LLC</t>
  </si>
  <si>
    <t>2538150</t>
  </si>
  <si>
    <t>Raphiiko</t>
  </si>
  <si>
    <t>1569040</t>
  </si>
  <si>
    <t>601510</t>
  </si>
  <si>
    <t>1535560</t>
  </si>
  <si>
    <t>2551020</t>
  </si>
  <si>
    <t>Duhndal</t>
  </si>
  <si>
    <t>1343370</t>
  </si>
  <si>
    <t>335240</t>
  </si>
  <si>
    <t>Atelier 801</t>
  </si>
  <si>
    <t>1815780</t>
  </si>
  <si>
    <t>3606890</t>
  </si>
  <si>
    <t>EnigmaDev Studios</t>
  </si>
  <si>
    <t>346900</t>
  </si>
  <si>
    <t>Hyper Hippo Games</t>
  </si>
  <si>
    <t>1721470</t>
  </si>
  <si>
    <t>Mob Entertainment</t>
  </si>
  <si>
    <t>200210</t>
  </si>
  <si>
    <t>Wild Shadow Studios</t>
  </si>
  <si>
    <t>Deca Live Operations GmbH</t>
  </si>
  <si>
    <t>1506830</t>
  </si>
  <si>
    <t>EA Canada &amp; EA Romania</t>
  </si>
  <si>
    <t>705210</t>
  </si>
  <si>
    <t>Simon Blasen</t>
  </si>
  <si>
    <t>444090</t>
  </si>
  <si>
    <t>Evil Mojo Games</t>
  </si>
  <si>
    <t>Hi-Rez Studios</t>
  </si>
  <si>
    <t>466170</t>
  </si>
  <si>
    <t>Shugasu GmbH</t>
  </si>
  <si>
    <t>1625450</t>
  </si>
  <si>
    <t>3052450</t>
  </si>
  <si>
    <t>B.I.A.V. Studio</t>
  </si>
  <si>
    <t>1100600</t>
  </si>
  <si>
    <t>1263850</t>
  </si>
  <si>
    <t>1151640</t>
  </si>
  <si>
    <t>872790</t>
  </si>
  <si>
    <t>1973710</t>
  </si>
  <si>
    <t>WRIGHT FLYER STUDIOS</t>
  </si>
  <si>
    <t>1097150</t>
  </si>
  <si>
    <t>Mediatonic</t>
  </si>
  <si>
    <t>3231090</t>
  </si>
  <si>
    <t>AmarilloArts</t>
  </si>
  <si>
    <t>224260</t>
  </si>
  <si>
    <t>No More Room in Hell Team</t>
  </si>
  <si>
    <t>Lever Games</t>
  </si>
  <si>
    <t>532210</t>
  </si>
  <si>
    <t>DONTNOD Entertainment</t>
  </si>
  <si>
    <t>394360</t>
  </si>
  <si>
    <t>251570</t>
  </si>
  <si>
    <t>The Fun Pimps</t>
  </si>
  <si>
    <t>The Fun Pimps Entertainment LLC</t>
  </si>
  <si>
    <t>289070</t>
  </si>
  <si>
    <t>261550</t>
  </si>
  <si>
    <t>TaleWorlds Entertainment</t>
  </si>
  <si>
    <t>1158310</t>
  </si>
  <si>
    <t>813780</t>
  </si>
  <si>
    <t>2252570</t>
  </si>
  <si>
    <t>281990</t>
  </si>
  <si>
    <t>236850</t>
  </si>
  <si>
    <t>1466860</t>
  </si>
  <si>
    <t>2186680</t>
  </si>
  <si>
    <t>Owlcat Games</t>
  </si>
  <si>
    <t>107410</t>
  </si>
  <si>
    <t>255710</t>
  </si>
  <si>
    <t>Colossal Order</t>
  </si>
  <si>
    <t>703080</t>
  </si>
  <si>
    <t>Frontier Developments</t>
  </si>
  <si>
    <t>1272160</t>
  </si>
  <si>
    <t>Sever</t>
  </si>
  <si>
    <t>101XP</t>
  </si>
  <si>
    <t>214950</t>
  </si>
  <si>
    <t>602960</t>
  </si>
  <si>
    <t>FakeFish</t>
  </si>
  <si>
    <t>Daedalic Entertainment</t>
  </si>
  <si>
    <t>686060</t>
  </si>
  <si>
    <t>400750</t>
  </si>
  <si>
    <t>Barbedwire Studios</t>
  </si>
  <si>
    <t>Digitalmindsoft</t>
  </si>
  <si>
    <t>686810</t>
  </si>
  <si>
    <t>Expression Games</t>
  </si>
  <si>
    <t>784150</t>
  </si>
  <si>
    <t>3Division</t>
  </si>
  <si>
    <t>244850</t>
  </si>
  <si>
    <t>Keen Software House</t>
  </si>
  <si>
    <t>1066780</t>
  </si>
  <si>
    <t>Urban Games</t>
  </si>
  <si>
    <t>Good Shepherd Entertainment</t>
  </si>
  <si>
    <t>268500</t>
  </si>
  <si>
    <t>3024040</t>
  </si>
  <si>
    <t>Firefly Studios</t>
  </si>
  <si>
    <t>1158160</t>
  </si>
  <si>
    <t>Stairway Games</t>
  </si>
  <si>
    <t>2536520</t>
  </si>
  <si>
    <t>Blizzard Entertainment, Inc.</t>
  </si>
  <si>
    <t>1934680</t>
  </si>
  <si>
    <t>1184370</t>
  </si>
  <si>
    <t>META Publishing</t>
  </si>
  <si>
    <t>779340</t>
  </si>
  <si>
    <t>365360</t>
  </si>
  <si>
    <t>10500</t>
  </si>
  <si>
    <t>1336490</t>
  </si>
  <si>
    <t>Eremite Games</t>
  </si>
  <si>
    <t>1669000</t>
  </si>
  <si>
    <t>Triumph Studios</t>
  </si>
  <si>
    <t>262060</t>
  </si>
  <si>
    <t>Red Hook Studios</t>
  </si>
  <si>
    <t>231430</t>
  </si>
  <si>
    <t>Relic Entertainment</t>
  </si>
  <si>
    <t>325610</t>
  </si>
  <si>
    <t>305620</t>
  </si>
  <si>
    <t>Hinterland Studio Inc.</t>
  </si>
  <si>
    <t>1527950</t>
  </si>
  <si>
    <t>Shiro Games</t>
  </si>
  <si>
    <t>2958130</t>
  </si>
  <si>
    <t>1044720</t>
  </si>
  <si>
    <t>3556750</t>
  </si>
  <si>
    <t>1569580</t>
  </si>
  <si>
    <t>Dogubomb</t>
  </si>
  <si>
    <t>Raw Fury</t>
  </si>
  <si>
    <t>701160</t>
  </si>
  <si>
    <t>Stumpy🐙Squid</t>
  </si>
  <si>
    <t>466560</t>
  </si>
  <si>
    <t>1324780</t>
  </si>
  <si>
    <t>Marco Amadei</t>
  </si>
  <si>
    <t>Corvostudio di Amadei Marco</t>
  </si>
  <si>
    <t>246620</t>
  </si>
  <si>
    <t>Ndemic Creations</t>
  </si>
  <si>
    <t>1029780</t>
  </si>
  <si>
    <t>Foxy Voxel</t>
  </si>
  <si>
    <t>Mythwright</t>
  </si>
  <si>
    <t>1910680</t>
  </si>
  <si>
    <t>MarpleGames</t>
  </si>
  <si>
    <t>1127400</t>
  </si>
  <si>
    <t>AnukenDev</t>
  </si>
  <si>
    <t>637090</t>
  </si>
  <si>
    <t>Harebrained Schemes</t>
  </si>
  <si>
    <t>34030</t>
  </si>
  <si>
    <t>1859910</t>
  </si>
  <si>
    <t>Obb Studio Inc.</t>
  </si>
  <si>
    <t>Paras Games</t>
  </si>
  <si>
    <t>233450</t>
  </si>
  <si>
    <t>Introversion Software</t>
  </si>
  <si>
    <t>228200</t>
  </si>
  <si>
    <t>373420</t>
  </si>
  <si>
    <t>Larian Studios</t>
  </si>
  <si>
    <t>2427700</t>
  </si>
  <si>
    <t>PlayWithFurcifer</t>
  </si>
  <si>
    <t>494840</t>
  </si>
  <si>
    <t>Deep Water Studio</t>
  </si>
  <si>
    <t>1399720</t>
  </si>
  <si>
    <t>Hevipelle</t>
  </si>
  <si>
    <t>690830</t>
  </si>
  <si>
    <t>Polymorph Games</t>
  </si>
  <si>
    <t>594570</t>
  </si>
  <si>
    <t>1611600</t>
  </si>
  <si>
    <t>Eugen Systems</t>
  </si>
  <si>
    <t>492720</t>
  </si>
  <si>
    <t>Limbic Entertainment</t>
  </si>
  <si>
    <t>Kalypso Media</t>
  </si>
  <si>
    <t>780310</t>
  </si>
  <si>
    <t>EXOR Studios</t>
  </si>
  <si>
    <t>3526710</t>
  </si>
  <si>
    <t>Odd Dreams Digital</t>
  </si>
  <si>
    <t>589290</t>
  </si>
  <si>
    <t>Anvil Game Studios</t>
  </si>
  <si>
    <t>1922560</t>
  </si>
  <si>
    <t>PopCap</t>
  </si>
  <si>
    <t>4045750</t>
  </si>
  <si>
    <t>Out of the Park Developments</t>
  </si>
  <si>
    <t>2591280</t>
  </si>
  <si>
    <t>1189490</t>
  </si>
  <si>
    <t>Chalcedony Network</t>
  </si>
  <si>
    <t>3314790</t>
  </si>
  <si>
    <t>Panik Arcade</t>
  </si>
  <si>
    <t>Future Friends Games</t>
  </si>
  <si>
    <t>3265700</t>
  </si>
  <si>
    <t>poncle</t>
  </si>
  <si>
    <t>266840</t>
  </si>
  <si>
    <t>Skybox Labs</t>
  </si>
  <si>
    <t>1213210</t>
  </si>
  <si>
    <t>Petroglyph</t>
  </si>
  <si>
    <t>1244460</t>
  </si>
  <si>
    <t>3117820</t>
  </si>
  <si>
    <t>Double Cross</t>
  </si>
  <si>
    <t>2P Games</t>
  </si>
  <si>
    <t>200510</t>
  </si>
  <si>
    <t>1575940</t>
  </si>
  <si>
    <t>Ironclad Games Corporation</t>
  </si>
  <si>
    <t>Stardock Entertainment</t>
  </si>
  <si>
    <t>493340</t>
  </si>
  <si>
    <t>1084160</t>
  </si>
  <si>
    <t>Haemimont Games</t>
  </si>
  <si>
    <t>3202030</t>
  </si>
  <si>
    <t>TPP Studio</t>
  </si>
  <si>
    <t>噪点游戏 SERICA GAMES</t>
  </si>
  <si>
    <t>2384580</t>
  </si>
  <si>
    <t>2753900</t>
  </si>
  <si>
    <t>Hypnohead</t>
  </si>
  <si>
    <t>3419520</t>
  </si>
  <si>
    <t>Brigada Games</t>
  </si>
  <si>
    <t>242920</t>
  </si>
  <si>
    <t>Shining Rock Software LLC</t>
  </si>
  <si>
    <t>323190</t>
  </si>
  <si>
    <t>644930</t>
  </si>
  <si>
    <t>Numantian Games</t>
  </si>
  <si>
    <t>469600</t>
  </si>
  <si>
    <t>AutoAttack Games</t>
  </si>
  <si>
    <t>368260</t>
  </si>
  <si>
    <t>392110</t>
  </si>
  <si>
    <t>AMPLITUDE Studios</t>
  </si>
  <si>
    <t>1004640</t>
  </si>
  <si>
    <t>418460</t>
  </si>
  <si>
    <t>Antimatter Games</t>
  </si>
  <si>
    <t>1385380</t>
  </si>
  <si>
    <t>Dreamsite Games</t>
  </si>
  <si>
    <t>858810</t>
  </si>
  <si>
    <t>Madruga Works</t>
  </si>
  <si>
    <t>719040</t>
  </si>
  <si>
    <t>inXile Entertainment</t>
  </si>
  <si>
    <t>56400</t>
  </si>
  <si>
    <t>364360</t>
  </si>
  <si>
    <t>3784030</t>
  </si>
  <si>
    <t>Doraccoon</t>
  </si>
  <si>
    <t>Playstack</t>
  </si>
  <si>
    <t>65800</t>
  </si>
  <si>
    <t>Chromatic Games</t>
  </si>
  <si>
    <t>1623730</t>
  </si>
  <si>
    <t>Pocketpair</t>
  </si>
  <si>
    <t>Overwhelmingly Positive</t>
  </si>
  <si>
    <t>250900</t>
  </si>
  <si>
    <t>Nicalis, Inc.</t>
  </si>
  <si>
    <t>431960</t>
  </si>
  <si>
    <t>Wallpaper Engine Team</t>
  </si>
  <si>
    <t>413150</t>
  </si>
  <si>
    <t>ConcernedApe</t>
  </si>
  <si>
    <t>1086940</t>
  </si>
  <si>
    <t>227300</t>
  </si>
  <si>
    <t>SCS Software</t>
  </si>
  <si>
    <t>4000</t>
  </si>
  <si>
    <t>105600</t>
  </si>
  <si>
    <t>Re-Logic</t>
  </si>
  <si>
    <t>294100</t>
  </si>
  <si>
    <t>Ludeon Studios</t>
  </si>
  <si>
    <t>3241660</t>
  </si>
  <si>
    <t>semiwork</t>
  </si>
  <si>
    <t>284160</t>
  </si>
  <si>
    <t>BeamNG</t>
  </si>
  <si>
    <t>322330</t>
  </si>
  <si>
    <t>Klei Entertainment</t>
  </si>
  <si>
    <t>526870</t>
  </si>
  <si>
    <t>Coffee Stain Studios</t>
  </si>
  <si>
    <t>550</t>
  </si>
  <si>
    <t>427520</t>
  </si>
  <si>
    <t>Wube Software LTD.</t>
  </si>
  <si>
    <t>292030</t>
  </si>
  <si>
    <t>629520</t>
  </si>
  <si>
    <t>3527290</t>
  </si>
  <si>
    <t>Team PEAK</t>
  </si>
  <si>
    <t>Aggro Crab</t>
  </si>
  <si>
    <t>1671210</t>
  </si>
  <si>
    <t>tobyfox</t>
  </si>
  <si>
    <t>3164500</t>
  </si>
  <si>
    <t>TVGS</t>
  </si>
  <si>
    <t>457140</t>
  </si>
  <si>
    <t>1454400</t>
  </si>
  <si>
    <t>Orteil</t>
  </si>
  <si>
    <t>367520</t>
  </si>
  <si>
    <t>960090</t>
  </si>
  <si>
    <t>2050650</t>
  </si>
  <si>
    <t>1868140</t>
  </si>
  <si>
    <t>MINTROCKET</t>
  </si>
  <si>
    <t>2379780</t>
  </si>
  <si>
    <t>LocalThunk</t>
  </si>
  <si>
    <t>270880</t>
  </si>
  <si>
    <t>1687950</t>
  </si>
  <si>
    <t>1942280</t>
  </si>
  <si>
    <t>Blobfish</t>
  </si>
  <si>
    <t>1903340</t>
  </si>
  <si>
    <t>Sandfall Interactive</t>
  </si>
  <si>
    <t>431730</t>
  </si>
  <si>
    <t>Igara Studio</t>
  </si>
  <si>
    <t>286160</t>
  </si>
  <si>
    <t>Berserk Games</t>
  </si>
  <si>
    <t>435150</t>
  </si>
  <si>
    <t>646570</t>
  </si>
  <si>
    <t>233860</t>
  </si>
  <si>
    <t>Lo-Fi Games</t>
  </si>
  <si>
    <t>242760</t>
  </si>
  <si>
    <t>1426210</t>
  </si>
  <si>
    <t>Hazelight Studios</t>
  </si>
  <si>
    <t>632360</t>
  </si>
  <si>
    <t>Hopoo Games</t>
  </si>
  <si>
    <t>Gearbox Publishing</t>
  </si>
  <si>
    <t>1145350</t>
  </si>
  <si>
    <t>Supergiant Games</t>
  </si>
  <si>
    <t>1118200</t>
  </si>
  <si>
    <t>mestiez</t>
  </si>
  <si>
    <t>Studio Minus</t>
  </si>
  <si>
    <t>2161700</t>
  </si>
  <si>
    <t>1062090</t>
  </si>
  <si>
    <t>Mechanistry</t>
  </si>
  <si>
    <t>548430</t>
  </si>
  <si>
    <t>Ghost Ship Games</t>
  </si>
  <si>
    <t>220200</t>
  </si>
  <si>
    <t>Private Division</t>
  </si>
  <si>
    <t>22380</t>
  </si>
  <si>
    <t>427410</t>
  </si>
  <si>
    <t>Deep Field Games</t>
  </si>
  <si>
    <t>1284190</t>
  </si>
  <si>
    <t>Miju Games</t>
  </si>
  <si>
    <t>3808690</t>
  </si>
  <si>
    <t>Aberrant Labs</t>
  </si>
  <si>
    <t>Slug Disco</t>
  </si>
  <si>
    <t>1145360</t>
  </si>
  <si>
    <t>1222140</t>
  </si>
  <si>
    <t>Quantic Dream</t>
  </si>
  <si>
    <t>264710</t>
  </si>
  <si>
    <t>3764200</t>
  </si>
  <si>
    <t>2001120</t>
  </si>
  <si>
    <t>1229490</t>
  </si>
  <si>
    <t>Arsi "Hakita" Patala</t>
  </si>
  <si>
    <t>New Blood Interactive</t>
  </si>
  <si>
    <t>1593500</t>
  </si>
  <si>
    <t>1817070</t>
  </si>
  <si>
    <t>1167630</t>
  </si>
  <si>
    <t>Tuxedo Labs</t>
  </si>
  <si>
    <t>240</t>
  </si>
  <si>
    <t>268910</t>
  </si>
  <si>
    <t>Studio MDHR Entertainment Inc.</t>
  </si>
  <si>
    <t>391540</t>
  </si>
  <si>
    <t>1794680</t>
  </si>
  <si>
    <t>1966720</t>
  </si>
  <si>
    <t>Zeekerss</t>
  </si>
  <si>
    <t>48700</t>
  </si>
  <si>
    <t>3489700</t>
  </si>
  <si>
    <t>SHIFT UP Corporation</t>
  </si>
  <si>
    <t>PlayStation Publishing LLC (excluding China)</t>
  </si>
  <si>
    <t>1313140</t>
  </si>
  <si>
    <t>Massive Monster</t>
  </si>
  <si>
    <t>883710</t>
  </si>
  <si>
    <t>221380</t>
  </si>
  <si>
    <t>881100</t>
  </si>
  <si>
    <t>Nolla Games</t>
  </si>
  <si>
    <t>508440</t>
  </si>
  <si>
    <t>Landfall</t>
  </si>
  <si>
    <t>504230</t>
  </si>
  <si>
    <t>Maddy Makes Games Inc.</t>
  </si>
  <si>
    <t>620</t>
  </si>
  <si>
    <t>220</t>
  </si>
  <si>
    <t>2142790</t>
  </si>
  <si>
    <t>NPC Studio</t>
  </si>
  <si>
    <t>1190000</t>
  </si>
  <si>
    <t>1366540</t>
  </si>
  <si>
    <t>Youthcat Studio</t>
  </si>
  <si>
    <t>Gamirror Games</t>
  </si>
  <si>
    <t>3981100</t>
  </si>
  <si>
    <t>Eternity</t>
  </si>
  <si>
    <t>3948120</t>
  </si>
  <si>
    <t>Lunch Money Games</t>
  </si>
  <si>
    <t>3590</t>
  </si>
  <si>
    <t>PopCap Games, Inc.</t>
  </si>
  <si>
    <t>3070070</t>
  </si>
  <si>
    <t>OPNeon Games</t>
  </si>
  <si>
    <t>552100</t>
  </si>
  <si>
    <t>Fluppisoft GmbH</t>
  </si>
  <si>
    <t>601150</t>
  </si>
  <si>
    <t>1206560</t>
  </si>
  <si>
    <t>Maxim Karpenko</t>
  </si>
  <si>
    <t>3511030</t>
  </si>
  <si>
    <t>Tesseract Studio</t>
  </si>
  <si>
    <t>588650</t>
  </si>
  <si>
    <t>Motion Twin</t>
  </si>
  <si>
    <t>1256670</t>
  </si>
  <si>
    <t>8800</t>
  </si>
  <si>
    <t>280680</t>
  </si>
  <si>
    <t>Photo Editing</t>
  </si>
  <si>
    <t>Krita Team</t>
  </si>
  <si>
    <t>2185060</t>
  </si>
  <si>
    <t>1113000</t>
  </si>
  <si>
    <t>32470</t>
  </si>
  <si>
    <t>LucasArts</t>
  </si>
  <si>
    <t>2113850</t>
  </si>
  <si>
    <t>Mooncube Games</t>
  </si>
  <si>
    <t>2186320</t>
  </si>
  <si>
    <t>JoySpark Games</t>
  </si>
  <si>
    <t>1290000</t>
  </si>
  <si>
    <t>1876890</t>
  </si>
  <si>
    <t>The Swordman Studio</t>
  </si>
  <si>
    <t>Spiral Up Games</t>
  </si>
  <si>
    <t>753640</t>
  </si>
  <si>
    <t>Mobius Digital</t>
  </si>
  <si>
    <t>Annapurna Interactive</t>
  </si>
  <si>
    <t>1040200</t>
  </si>
  <si>
    <t>President Studio</t>
  </si>
  <si>
    <t>1211020</t>
  </si>
  <si>
    <t>RubberBandGames</t>
  </si>
  <si>
    <t>3124540</t>
  </si>
  <si>
    <t>Evil Raptor</t>
  </si>
  <si>
    <t>2592160</t>
  </si>
  <si>
    <t>AdHoc Studio</t>
  </si>
  <si>
    <t>3195790</t>
  </si>
  <si>
    <t>Dark Machine Games</t>
  </si>
  <si>
    <t>DreadXP</t>
  </si>
  <si>
    <t>3548580</t>
  </si>
  <si>
    <t>Nestopi Inc.</t>
  </si>
  <si>
    <t>212680</t>
  </si>
  <si>
    <t>Subset Games</t>
  </si>
  <si>
    <t>200260</t>
  </si>
  <si>
    <t>2195120</t>
  </si>
  <si>
    <t>Prideful Sloth</t>
  </si>
  <si>
    <t>3552140</t>
  </si>
  <si>
    <t>Blood Pact Studios</t>
  </si>
  <si>
    <t>433340</t>
  </si>
  <si>
    <t>477160</t>
  </si>
  <si>
    <t>No Brakes Games</t>
  </si>
  <si>
    <t>Curve Games</t>
  </si>
  <si>
    <t>3641000</t>
  </si>
  <si>
    <t>William Rous</t>
  </si>
  <si>
    <t>Evil Trout Inc.</t>
  </si>
  <si>
    <t>379720</t>
  </si>
  <si>
    <t>635260</t>
  </si>
  <si>
    <t>CarX Technologies, LLC</t>
  </si>
  <si>
    <t>1599600</t>
  </si>
  <si>
    <t>It's happening</t>
  </si>
  <si>
    <t>Yogscast Games</t>
  </si>
  <si>
    <t>205100</t>
  </si>
  <si>
    <t>1237970</t>
  </si>
  <si>
    <t>1809540</t>
  </si>
  <si>
    <t>RedCandleGames</t>
  </si>
  <si>
    <t>2835570</t>
  </si>
  <si>
    <t>Mike Klubnika</t>
  </si>
  <si>
    <t>CRITICAL REFLEX</t>
  </si>
  <si>
    <t>1449690</t>
  </si>
  <si>
    <t>Skybound Games</t>
  </si>
  <si>
    <t>311690</t>
  </si>
  <si>
    <t>Dodge Roll</t>
  </si>
  <si>
    <t>665300</t>
  </si>
  <si>
    <t>Travis Miller</t>
  </si>
  <si>
    <t>2444750</t>
  </si>
  <si>
    <t>Lizard Smoothie</t>
  </si>
  <si>
    <t>1092790</t>
  </si>
  <si>
    <t>Daniel Mullins Games</t>
  </si>
  <si>
    <t>2215200</t>
  </si>
  <si>
    <t>9420</t>
  </si>
  <si>
    <t>Gas Powered Games</t>
  </si>
  <si>
    <t>219740</t>
  </si>
  <si>
    <t>204360</t>
  </si>
  <si>
    <t>The Behemoth</t>
  </si>
  <si>
    <t>2162800</t>
  </si>
  <si>
    <t>tobspr Games</t>
  </si>
  <si>
    <t>1332010</t>
  </si>
  <si>
    <t>BlueTwelve Studio</t>
  </si>
  <si>
    <t>2062430</t>
  </si>
  <si>
    <t>Kenny Sun and Friends</t>
  </si>
  <si>
    <t>3357650</t>
  </si>
  <si>
    <t>2742830</t>
  </si>
  <si>
    <t>Shiny Shoe</t>
  </si>
  <si>
    <t>Big Fan Games</t>
  </si>
  <si>
    <t>1217060</t>
  </si>
  <si>
    <t>Gunfire Reborn Studio</t>
  </si>
  <si>
    <t>Duoyi Games</t>
  </si>
  <si>
    <t>2135150</t>
  </si>
  <si>
    <t>Lafrontier</t>
  </si>
  <si>
    <t>1562430</t>
  </si>
  <si>
    <t>Black Salt Games</t>
  </si>
  <si>
    <t>238320</t>
  </si>
  <si>
    <t>500</t>
  </si>
  <si>
    <t>2103140</t>
  </si>
  <si>
    <t>Wave Games</t>
  </si>
  <si>
    <t>413410</t>
  </si>
  <si>
    <t>1057090</t>
  </si>
  <si>
    <t>386940</t>
  </si>
  <si>
    <t>Clever Endeavour Games</t>
  </si>
  <si>
    <t>3478050</t>
  </si>
  <si>
    <t xml:space="preserve"> New One Studio</t>
  </si>
  <si>
    <t>2666510</t>
  </si>
  <si>
    <t>Mister Morris Games</t>
  </si>
  <si>
    <t>2527500</t>
  </si>
  <si>
    <t>AIHASTO</t>
  </si>
  <si>
    <t>2495450</t>
  </si>
  <si>
    <t>Dojin Otome</t>
  </si>
  <si>
    <t>Kagura Games</t>
  </si>
  <si>
    <t>213670</t>
  </si>
  <si>
    <t>546560</t>
  </si>
  <si>
    <t>235460</t>
  </si>
  <si>
    <t>PlatinumGames</t>
  </si>
  <si>
    <t>2218750</t>
  </si>
  <si>
    <t>Chasing Carrots</t>
  </si>
  <si>
    <t>3240220</t>
  </si>
  <si>
    <t>Mostly Positive</t>
  </si>
  <si>
    <t>381210</t>
  </si>
  <si>
    <t>Behaviour Interactive Inc.</t>
  </si>
  <si>
    <t>221100</t>
  </si>
  <si>
    <t>2694490</t>
  </si>
  <si>
    <t>1142710</t>
  </si>
  <si>
    <t>346110</t>
  </si>
  <si>
    <t>Studio Wildcard</t>
  </si>
  <si>
    <t>594650</t>
  </si>
  <si>
    <t>Crytek</t>
  </si>
  <si>
    <t>582660</t>
  </si>
  <si>
    <t>3472040</t>
  </si>
  <si>
    <t>Visual Concepts</t>
  </si>
  <si>
    <t>376210</t>
  </si>
  <si>
    <t>Afterthought LLC</t>
  </si>
  <si>
    <t>1874880</t>
  </si>
  <si>
    <t>1361210</t>
  </si>
  <si>
    <t>3767850</t>
  </si>
  <si>
    <t>Baikun Interactive</t>
  </si>
  <si>
    <t>513710</t>
  </si>
  <si>
    <t>Gamepires</t>
  </si>
  <si>
    <t>440900</t>
  </si>
  <si>
    <t>Funcom</t>
  </si>
  <si>
    <t>1144200</t>
  </si>
  <si>
    <t>VOID Interactive</t>
  </si>
  <si>
    <t>1151340</t>
  </si>
  <si>
    <t>1172710</t>
  </si>
  <si>
    <t>1643320</t>
  </si>
  <si>
    <t>GSC Game World</t>
  </si>
  <si>
    <t>GSC Game World (worldwide)</t>
  </si>
  <si>
    <t>359320</t>
  </si>
  <si>
    <t>392160</t>
  </si>
  <si>
    <t>Egosoft</t>
  </si>
  <si>
    <t>1617400</t>
  </si>
  <si>
    <t>Tempo</t>
  </si>
  <si>
    <t>3159330</t>
  </si>
  <si>
    <t>534380</t>
  </si>
  <si>
    <t>2221490</t>
  </si>
  <si>
    <t>1149460</t>
  </si>
  <si>
    <t>RocketWerkz</t>
  </si>
  <si>
    <t>838350</t>
  </si>
  <si>
    <t>ConchShip Games</t>
  </si>
  <si>
    <t>2399420</t>
  </si>
  <si>
    <t>Studio 397</t>
  </si>
  <si>
    <t>934700</t>
  </si>
  <si>
    <t>Dambuster Studios</t>
  </si>
  <si>
    <t>1812450</t>
  </si>
  <si>
    <t>Donkey Crew</t>
  </si>
  <si>
    <t>505460</t>
  </si>
  <si>
    <t>Siege Camp</t>
  </si>
  <si>
    <t>2909400</t>
  </si>
  <si>
    <t>2479810</t>
  </si>
  <si>
    <t>MADFINGER Games, a.s.</t>
  </si>
  <si>
    <t>4564320</t>
  </si>
  <si>
    <t>搖滾冰塊</t>
  </si>
  <si>
    <t>Mango Party</t>
  </si>
  <si>
    <t>1250410</t>
  </si>
  <si>
    <t>2936290</t>
  </si>
  <si>
    <t>Schisma Games</t>
  </si>
  <si>
    <t>3672400</t>
  </si>
  <si>
    <t>2352620</t>
  </si>
  <si>
    <t>Chief Rebel</t>
  </si>
  <si>
    <t>1238810</t>
  </si>
  <si>
    <t>916440</t>
  </si>
  <si>
    <t>Ubisoft Mainz</t>
  </si>
  <si>
    <t>2456740</t>
  </si>
  <si>
    <t>inZOI Studio</t>
  </si>
  <si>
    <t>2688950</t>
  </si>
  <si>
    <t>2397300</t>
  </si>
  <si>
    <t>Half Sword Games</t>
  </si>
  <si>
    <t>Game Seer Publishing</t>
  </si>
  <si>
    <t>1468810</t>
  </si>
  <si>
    <t>鬼谷工作室</t>
  </si>
  <si>
    <t>1547000</t>
  </si>
  <si>
    <t>2646460</t>
  </si>
  <si>
    <t>CampFire Studio</t>
  </si>
  <si>
    <t>Qooland Games</t>
  </si>
  <si>
    <t>569610</t>
  </si>
  <si>
    <t>PixelMouse</t>
  </si>
  <si>
    <t>2840770</t>
  </si>
  <si>
    <t>Massive Entertainment – A Ubisoft Studio</t>
  </si>
  <si>
    <t>1766060</t>
  </si>
  <si>
    <t>Yodubzz Studios</t>
  </si>
  <si>
    <t>indie.io</t>
  </si>
  <si>
    <t>2231380</t>
  </si>
  <si>
    <t>Ubisoft Paris</t>
  </si>
  <si>
    <t>297000</t>
  </si>
  <si>
    <t>Dotemu</t>
  </si>
  <si>
    <t>Ubisoft Entertainment</t>
  </si>
  <si>
    <t>460930</t>
  </si>
  <si>
    <t>1133870</t>
  </si>
  <si>
    <t>2623190</t>
  </si>
  <si>
    <t>1971870</t>
  </si>
  <si>
    <t>1273400</t>
  </si>
  <si>
    <t>weltenbauer. Software Entwicklung GmbH</t>
  </si>
  <si>
    <t>astragon Entertainment</t>
  </si>
  <si>
    <t>243470</t>
  </si>
  <si>
    <t>625960</t>
  </si>
  <si>
    <t>Ink Stains Games</t>
  </si>
  <si>
    <t>HypeTrain Digital</t>
  </si>
  <si>
    <t>2104890</t>
  </si>
  <si>
    <t>885970</t>
  </si>
  <si>
    <t>1501750</t>
  </si>
  <si>
    <t>CI Games</t>
  </si>
  <si>
    <t>221040</t>
  </si>
  <si>
    <t>2698940</t>
  </si>
  <si>
    <t>Ubisoft Ivory Tower</t>
  </si>
  <si>
    <t>489630</t>
  </si>
  <si>
    <t>Proxy Studios</t>
  </si>
  <si>
    <t>Slitherine Ltd.</t>
  </si>
  <si>
    <t>1119730</t>
  </si>
  <si>
    <t>Toxic Dog</t>
  </si>
  <si>
    <t>Excalibur Games</t>
  </si>
  <si>
    <t>3656800</t>
  </si>
  <si>
    <t>Dovetail Games</t>
  </si>
  <si>
    <t>Dovetail Games - TSW</t>
  </si>
  <si>
    <t>1676840</t>
  </si>
  <si>
    <t>IronOak Games</t>
  </si>
  <si>
    <t>2515020</t>
  </si>
  <si>
    <t>383120</t>
  </si>
  <si>
    <t>Eleon Game Studios</t>
  </si>
  <si>
    <t>289650</t>
  </si>
  <si>
    <t>3314070</t>
  </si>
  <si>
    <t>4148240</t>
  </si>
  <si>
    <t>668580</t>
  </si>
  <si>
    <t>Mundfish</t>
  </si>
  <si>
    <t>1940340</t>
  </si>
  <si>
    <t>640820</t>
  </si>
  <si>
    <t>Knights Peak</t>
  </si>
  <si>
    <t>2605790</t>
  </si>
  <si>
    <t>1601580</t>
  </si>
  <si>
    <t>924970</t>
  </si>
  <si>
    <t>Turtle Rock Studios</t>
  </si>
  <si>
    <t>2373990</t>
  </si>
  <si>
    <t>Netmarble Neo</t>
  </si>
  <si>
    <t>Netmarble</t>
  </si>
  <si>
    <t>307780</t>
  </si>
  <si>
    <t>365590</t>
  </si>
  <si>
    <t>Massive Entertainment</t>
  </si>
  <si>
    <t>1987080</t>
  </si>
  <si>
    <t>MrFatcat</t>
  </si>
  <si>
    <t>2277560</t>
  </si>
  <si>
    <t>Leenzee</t>
  </si>
  <si>
    <t>646910</t>
  </si>
  <si>
    <t>Ivory Tower</t>
  </si>
  <si>
    <t>939960</t>
  </si>
  <si>
    <t>333420</t>
  </si>
  <si>
    <t>2625420</t>
  </si>
  <si>
    <t>Tacty Studio</t>
  </si>
  <si>
    <t>1449110</t>
  </si>
  <si>
    <t>612880</t>
  </si>
  <si>
    <t>729040</t>
  </si>
  <si>
    <t>2406770</t>
  </si>
  <si>
    <t>Reissad Studio</t>
  </si>
  <si>
    <t>1483870</t>
  </si>
  <si>
    <t>Acureus</t>
  </si>
  <si>
    <t>704270</t>
  </si>
  <si>
    <t>Systemic Reaction™</t>
  </si>
  <si>
    <t>1941540</t>
  </si>
  <si>
    <t>1286680</t>
  </si>
  <si>
    <t>794260</t>
  </si>
  <si>
    <t>Nine Dots Studio</t>
  </si>
  <si>
    <t>Prime Matter</t>
  </si>
  <si>
    <t>2217000</t>
  </si>
  <si>
    <t>Aether Studios</t>
  </si>
  <si>
    <t>2457220</t>
  </si>
  <si>
    <t>2291060</t>
  </si>
  <si>
    <t>SANDLOT</t>
  </si>
  <si>
    <t>D3PUBLISHER</t>
  </si>
  <si>
    <t>1611910</t>
  </si>
  <si>
    <t>Complex Games</t>
  </si>
  <si>
    <t>Frontier Foundry</t>
  </si>
  <si>
    <t>1097840</t>
  </si>
  <si>
    <t>The Coalition</t>
  </si>
  <si>
    <t>3405690</t>
  </si>
  <si>
    <t>EA Canada</t>
  </si>
  <si>
    <t>Mixed</t>
  </si>
  <si>
    <t>3551340</t>
  </si>
  <si>
    <t>Mostly Negative</t>
  </si>
  <si>
    <t>2807960</t>
  </si>
  <si>
    <t>Battlefield Studios</t>
  </si>
  <si>
    <t>2399830</t>
  </si>
  <si>
    <t>3932890</t>
  </si>
  <si>
    <t>Battlestate Games</t>
  </si>
  <si>
    <t>2344520</t>
  </si>
  <si>
    <t>2246340</t>
  </si>
  <si>
    <t>1431300</t>
  </si>
  <si>
    <t>Hologryph</t>
  </si>
  <si>
    <t>949230</t>
  </si>
  <si>
    <t>Iceflake Studios</t>
  </si>
  <si>
    <t>3450310</t>
  </si>
  <si>
    <t>Paradox Tinto</t>
  </si>
  <si>
    <t>1295660</t>
  </si>
  <si>
    <t>2138720</t>
  </si>
  <si>
    <t>Sloclap</t>
  </si>
  <si>
    <t>4128580</t>
  </si>
  <si>
    <t>MindSurge Network &amp; Games</t>
  </si>
  <si>
    <t>Elegoose Games</t>
  </si>
  <si>
    <t>3595230</t>
  </si>
  <si>
    <t>529340</t>
  </si>
  <si>
    <t>1285190</t>
  </si>
  <si>
    <t>2537590</t>
  </si>
  <si>
    <t>1812620</t>
  </si>
  <si>
    <t>Paliverse</t>
  </si>
  <si>
    <t>1778820</t>
  </si>
  <si>
    <t>1716740</t>
  </si>
  <si>
    <t>2749950</t>
  </si>
  <si>
    <t>Neurona Games</t>
  </si>
  <si>
    <t>2244210</t>
  </si>
  <si>
    <t>Game Studio Inc.</t>
  </si>
  <si>
    <t>1677280</t>
  </si>
  <si>
    <t>4032350</t>
  </si>
  <si>
    <t>Tiburon</t>
  </si>
  <si>
    <t>1604270</t>
  </si>
  <si>
    <t>Steel Balalaika</t>
  </si>
  <si>
    <t>304390</t>
  </si>
  <si>
    <t>2569760</t>
  </si>
  <si>
    <t>ACE Team</t>
  </si>
  <si>
    <t>2208920</t>
  </si>
  <si>
    <t>3595270</t>
  </si>
  <si>
    <t>Sledgehammer Games</t>
  </si>
  <si>
    <t>3276050</t>
  </si>
  <si>
    <t>3274580</t>
  </si>
  <si>
    <t>448470</t>
  </si>
  <si>
    <t>Sometimes You</t>
  </si>
  <si>
    <t>2054970</t>
  </si>
  <si>
    <t>1774580</t>
  </si>
  <si>
    <t>Respawn</t>
  </si>
  <si>
    <t>1170950</t>
  </si>
  <si>
    <t>Star Vault AB</t>
  </si>
  <si>
    <t>2878980</t>
  </si>
  <si>
    <t>2369390</t>
  </si>
  <si>
    <t>Ubisoft Toronto</t>
  </si>
  <si>
    <t>4384550</t>
  </si>
  <si>
    <t>2377930</t>
  </si>
  <si>
    <t>LeiYun Games</t>
  </si>
  <si>
    <t>Positive</t>
  </si>
  <si>
    <t>3936530</t>
  </si>
  <si>
    <t>Cyanide Studio</t>
  </si>
  <si>
    <t>2385530</t>
  </si>
  <si>
    <t>HB Studios</t>
  </si>
  <si>
    <t>313650</t>
  </si>
  <si>
    <t>Artifex Mundi</t>
  </si>
  <si>
    <t>3058630</t>
  </si>
  <si>
    <t>1517290</t>
  </si>
  <si>
    <t>2294660</t>
  </si>
  <si>
    <t>Vawraek Technology Inc.</t>
  </si>
  <si>
    <t>360430</t>
  </si>
  <si>
    <t>1995520</t>
  </si>
  <si>
    <t>Mainframe Industries</t>
  </si>
  <si>
    <t>1272080</t>
  </si>
  <si>
    <t>Starbreeze Studios</t>
  </si>
  <si>
    <t>1605850</t>
  </si>
  <si>
    <t>Starlance Studios</t>
  </si>
  <si>
    <t>415960</t>
  </si>
  <si>
    <t>2828860</t>
  </si>
  <si>
    <t>Fun Dog Studios</t>
  </si>
  <si>
    <t>872410</t>
  </si>
  <si>
    <t>1845910</t>
  </si>
  <si>
    <t>1846380</t>
  </si>
  <si>
    <t>Criterion Games</t>
  </si>
  <si>
    <t>1371580</t>
  </si>
  <si>
    <t>Angela Game</t>
  </si>
  <si>
    <t>Imperium Interactive Entertainment</t>
  </si>
  <si>
    <t>590830</t>
  </si>
  <si>
    <t>1124300</t>
  </si>
  <si>
    <t>1433140</t>
  </si>
  <si>
    <t>Sumo Digital</t>
  </si>
  <si>
    <t>Gun Interactive</t>
  </si>
  <si>
    <t>859580</t>
  </si>
  <si>
    <t>1171690</t>
  </si>
  <si>
    <t>Airship Syndicate</t>
  </si>
  <si>
    <t>65980</t>
  </si>
  <si>
    <t>269210</t>
  </si>
  <si>
    <t>Panic Art Studios Ltd</t>
  </si>
  <si>
    <t>1392860</t>
  </si>
  <si>
    <t>Supermassive Games</t>
  </si>
  <si>
    <t>712100</t>
  </si>
  <si>
    <t>1430190</t>
  </si>
  <si>
    <t>1422450</t>
  </si>
  <si>
    <t>No user reviews</t>
  </si>
  <si>
    <t>438100</t>
  </si>
  <si>
    <t>VRChat Inc.</t>
  </si>
  <si>
    <t>1938090</t>
  </si>
  <si>
    <t>1905180</t>
  </si>
  <si>
    <t>OBS Project</t>
  </si>
  <si>
    <t>365670</t>
  </si>
  <si>
    <t>Blender Foundation</t>
  </si>
  <si>
    <t>2016590</t>
  </si>
  <si>
    <t>IRONMACE</t>
  </si>
  <si>
    <t>4333400</t>
  </si>
  <si>
    <t>4 user reviews</t>
  </si>
  <si>
    <t>2669320</t>
  </si>
  <si>
    <t>583950</t>
  </si>
  <si>
    <t>2437170</t>
  </si>
  <si>
    <t>Titan Forge Games</t>
  </si>
  <si>
    <t>4747510</t>
  </si>
  <si>
    <t>Lefto Studio</t>
  </si>
  <si>
    <t>2948190</t>
  </si>
  <si>
    <t>Thera Interactive</t>
  </si>
  <si>
    <t>3301060</t>
  </si>
  <si>
    <t>infiniteloop</t>
  </si>
  <si>
    <t>3478870</t>
  </si>
  <si>
    <t>GeoGuessr</t>
  </si>
  <si>
    <t>3413340</t>
  </si>
  <si>
    <t>Mark</t>
  </si>
  <si>
    <t>3198850</t>
  </si>
  <si>
    <t>HAEGIN Co.,Ltd.</t>
  </si>
  <si>
    <t>2225070</t>
  </si>
  <si>
    <t>Nadeo</t>
  </si>
  <si>
    <t>404790</t>
  </si>
  <si>
    <t>3354750</t>
  </si>
  <si>
    <t>Full Circle</t>
  </si>
  <si>
    <t>1447430</t>
  </si>
  <si>
    <t>Qing Feng Beijing Technology</t>
  </si>
  <si>
    <t>389430</t>
  </si>
  <si>
    <t>Noah System</t>
  </si>
  <si>
    <t>NTTGame</t>
  </si>
  <si>
    <t>2081880</t>
  </si>
  <si>
    <t>Gameolic Development Studio</t>
  </si>
  <si>
    <t>2642680</t>
  </si>
  <si>
    <t>4568400</t>
  </si>
  <si>
    <t>Indie Devil</t>
  </si>
  <si>
    <t>4576510</t>
  </si>
  <si>
    <t>Orsoniks</t>
  </si>
  <si>
    <t>4119420</t>
  </si>
  <si>
    <t>Disruptive Blast</t>
  </si>
  <si>
    <t>2229850</t>
  </si>
  <si>
    <t>Westwood Pacific</t>
  </si>
  <si>
    <t>312060</t>
  </si>
  <si>
    <t>212910</t>
  </si>
  <si>
    <t>1811260</t>
  </si>
  <si>
    <t>544730</t>
  </si>
  <si>
    <t>Client/Frontend: Endava  / Backend: SuperNimbus</t>
  </si>
  <si>
    <t>USM</t>
  </si>
  <si>
    <t>4056970</t>
  </si>
  <si>
    <t>Fionnshare</t>
  </si>
  <si>
    <t>1259970</t>
  </si>
  <si>
    <t>Konami Digital Entertainment</t>
  </si>
  <si>
    <t>1418630</t>
  </si>
  <si>
    <t>Dread Hunger Team</t>
  </si>
  <si>
    <t>Digital Confectioners</t>
  </si>
  <si>
    <t>2622000</t>
  </si>
  <si>
    <t>STAR ENGINE PROJECT</t>
  </si>
  <si>
    <t>Neverland Entertainment</t>
  </si>
  <si>
    <t>1690940</t>
  </si>
  <si>
    <t>1 user reviews</t>
  </si>
  <si>
    <t>319630</t>
  </si>
  <si>
    <t>1063730</t>
  </si>
  <si>
    <t>Amazon Game Studios</t>
  </si>
  <si>
    <t>1180380</t>
  </si>
  <si>
    <t>MOBITECH LLC</t>
  </si>
  <si>
    <t>2195250</t>
  </si>
  <si>
    <t>482730</t>
  </si>
  <si>
    <t>2420510</t>
  </si>
  <si>
    <t>KayAnimate</t>
  </si>
  <si>
    <t>2488620</t>
  </si>
  <si>
    <t>3205720</t>
  </si>
  <si>
    <t>578080</t>
  </si>
  <si>
    <t>PUBG Corporation</t>
  </si>
  <si>
    <t>3678970</t>
  </si>
  <si>
    <t>Nugem Studio</t>
  </si>
  <si>
    <t>3419430</t>
  </si>
  <si>
    <t>Marcel Zurawka</t>
  </si>
  <si>
    <t>1172470</t>
  </si>
  <si>
    <t>2767030</t>
  </si>
  <si>
    <t>2507950</t>
  </si>
  <si>
    <t>Team Jade</t>
  </si>
  <si>
    <t>TiMi Studio Group</t>
  </si>
  <si>
    <t>236390</t>
  </si>
  <si>
    <t>Gaijin Entertainment</t>
  </si>
  <si>
    <t>Gaijin Network Ltd</t>
  </si>
  <si>
    <t>2357570</t>
  </si>
  <si>
    <t>1085660</t>
  </si>
  <si>
    <t>2073620</t>
  </si>
  <si>
    <t>Morefun Studios</t>
  </si>
  <si>
    <t>1281930</t>
  </si>
  <si>
    <t>TML Team</t>
  </si>
  <si>
    <t>1665460</t>
  </si>
  <si>
    <t>1818450</t>
  </si>
  <si>
    <t>EXBO</t>
  </si>
  <si>
    <t>1974050</t>
  </si>
  <si>
    <t>766570</t>
  </si>
  <si>
    <t>FishSoft LLC</t>
  </si>
  <si>
    <t>2139460</t>
  </si>
  <si>
    <t>Starry Studio</t>
  </si>
  <si>
    <t>4025700</t>
  </si>
  <si>
    <t>291550</t>
  </si>
  <si>
    <t>Blue Mammoth Games</t>
  </si>
  <si>
    <t>1623660</t>
  </si>
  <si>
    <t>Wemade Next</t>
  </si>
  <si>
    <t>Wemade</t>
  </si>
  <si>
    <t>1449850</t>
  </si>
  <si>
    <t>3659280</t>
  </si>
  <si>
    <t>Gunzilla Games</t>
  </si>
  <si>
    <t>761890</t>
  </si>
  <si>
    <t>Sandbox Interactive GmbH</t>
  </si>
  <si>
    <t>2141910</t>
  </si>
  <si>
    <t>Wizards of the Coast</t>
  </si>
  <si>
    <t>1476970</t>
  </si>
  <si>
    <t>2426960</t>
  </si>
  <si>
    <t>Com2uS</t>
  </si>
  <si>
    <t>4465480</t>
  </si>
  <si>
    <t>216150</t>
  </si>
  <si>
    <t>NEXON Korea Corporation</t>
  </si>
  <si>
    <t>Nexon America Inc.</t>
  </si>
  <si>
    <t>2429640</t>
  </si>
  <si>
    <t>NC</t>
  </si>
  <si>
    <t>2923300</t>
  </si>
  <si>
    <t>Sky</t>
  </si>
  <si>
    <t>Banana Game</t>
  </si>
  <si>
    <t>1407200</t>
  </si>
  <si>
    <t>1599340</t>
  </si>
  <si>
    <t>Smilegate RPG</t>
  </si>
  <si>
    <t>444200</t>
  </si>
  <si>
    <t>3199170</t>
  </si>
  <si>
    <t>8500</t>
  </si>
  <si>
    <t>Fenris Creations</t>
  </si>
  <si>
    <t>3679080</t>
  </si>
  <si>
    <t>Netmarble F&amp;C</t>
  </si>
  <si>
    <t>2074920</t>
  </si>
  <si>
    <t>NEXON Games Co., Ltd.</t>
  </si>
  <si>
    <t>2584990</t>
  </si>
  <si>
    <t>2051620</t>
  </si>
  <si>
    <t>Darkflow Software</t>
  </si>
  <si>
    <t>1258080</t>
  </si>
  <si>
    <t>Kabam Games, Inc.</t>
  </si>
  <si>
    <t>1920960</t>
  </si>
  <si>
    <t>LB Game</t>
  </si>
  <si>
    <t>1607250</t>
  </si>
  <si>
    <t>Byking Inc.</t>
  </si>
  <si>
    <t>1147690</t>
  </si>
  <si>
    <t>4G</t>
  </si>
  <si>
    <t>1891700</t>
  </si>
  <si>
    <t>Broken Glass</t>
  </si>
  <si>
    <t>3164330</t>
  </si>
  <si>
    <t>Infold Games</t>
  </si>
  <si>
    <t>835570</t>
  </si>
  <si>
    <t>Booming Tech</t>
  </si>
  <si>
    <t>Poros Interactive</t>
  </si>
  <si>
    <t>1128810</t>
  </si>
  <si>
    <t>SMG Studio</t>
  </si>
  <si>
    <t>2808930</t>
  </si>
  <si>
    <t>Pochemu LTD</t>
  </si>
  <si>
    <t>627690</t>
  </si>
  <si>
    <t>Codename Entertainment Inc.</t>
  </si>
  <si>
    <t>985810</t>
  </si>
  <si>
    <t>KOG</t>
  </si>
  <si>
    <t>1013320</t>
  </si>
  <si>
    <t>Holyday Studios</t>
  </si>
  <si>
    <t>767560</t>
  </si>
  <si>
    <t>MY.GAMES</t>
  </si>
  <si>
    <t>327070</t>
  </si>
  <si>
    <t>gamigo US</t>
  </si>
  <si>
    <t>1997040</t>
  </si>
  <si>
    <t>Second Dinner Studios, Inc.</t>
  </si>
  <si>
    <t>961200</t>
  </si>
  <si>
    <t>Omeda Studios</t>
  </si>
  <si>
    <t>4128400</t>
  </si>
  <si>
    <t>1282270</t>
  </si>
  <si>
    <t>iDreamSky</t>
  </si>
  <si>
    <t>386180</t>
  </si>
  <si>
    <t>Targem Games</t>
  </si>
  <si>
    <t>1240440</t>
  </si>
  <si>
    <t>3061570</t>
  </si>
  <si>
    <t>842980</t>
  </si>
  <si>
    <t>Towards Mars Limited</t>
  </si>
  <si>
    <t>1353300</t>
  </si>
  <si>
    <t>Pablo Leban</t>
  </si>
  <si>
    <t>9900</t>
  </si>
  <si>
    <t>Cryptic Studios</t>
  </si>
  <si>
    <t>2753000</t>
  </si>
  <si>
    <t>4018020</t>
  </si>
  <si>
    <t>USERJOY Technology Co.,Ltd.</t>
  </si>
  <si>
    <t>4368350</t>
  </si>
  <si>
    <t>Brody Seyranian</t>
  </si>
  <si>
    <t>2072560</t>
  </si>
  <si>
    <t>GANBARION Co., Ltd.</t>
  </si>
  <si>
    <t>386360</t>
  </si>
  <si>
    <t>2943650</t>
  </si>
  <si>
    <t>Bad Guitar Studio</t>
  </si>
  <si>
    <t>3187030</t>
  </si>
  <si>
    <t>David Price</t>
  </si>
  <si>
    <t>663090</t>
  </si>
  <si>
    <t>IMCGAMES Co.,Ltd.</t>
  </si>
  <si>
    <t>3217240</t>
  </si>
  <si>
    <t>Invincibles Studio Ltd</t>
  </si>
  <si>
    <t>4510830</t>
  </si>
  <si>
    <t>Celestial Star Publishing</t>
  </si>
  <si>
    <t>2333480</t>
  </si>
  <si>
    <t>Plarium Global Ltd</t>
  </si>
  <si>
    <t>3142050</t>
  </si>
  <si>
    <t>3750430</t>
  </si>
  <si>
    <t>雷爵網絡科技股份有限公司</t>
  </si>
  <si>
    <t>329110</t>
  </si>
  <si>
    <t>Infinity Plus 2</t>
  </si>
  <si>
    <t>307950</t>
  </si>
  <si>
    <t>1C Game Studios</t>
  </si>
  <si>
    <t>FOR-GAMES CR LTD</t>
  </si>
  <si>
    <t>2918150</t>
  </si>
  <si>
    <t>2524890</t>
  </si>
  <si>
    <t>Cubic Games Studio</t>
  </si>
  <si>
    <t>3953520</t>
  </si>
  <si>
    <t>37GAMES</t>
  </si>
  <si>
    <t>397900</t>
  </si>
  <si>
    <t>8Floor</t>
  </si>
  <si>
    <t>304050</t>
  </si>
  <si>
    <t>gamigo US Inc.</t>
  </si>
  <si>
    <t>3681810</t>
  </si>
  <si>
    <t>Shanghai Bokura Network Technology Co.Ltd</t>
  </si>
  <si>
    <t>A Plus</t>
  </si>
  <si>
    <t>109600</t>
  </si>
  <si>
    <t>2452280</t>
  </si>
  <si>
    <t>Amazing Seasun Games</t>
  </si>
  <si>
    <t>4300500</t>
  </si>
  <si>
    <t>Nick Nieuwoudt</t>
  </si>
  <si>
    <t>2349820</t>
  </si>
  <si>
    <t>钢之直男工作室</t>
  </si>
  <si>
    <t>Orienjoy</t>
  </si>
  <si>
    <t>3609080</t>
  </si>
  <si>
    <t>Studiobside</t>
  </si>
  <si>
    <t>1056640</t>
  </si>
  <si>
    <t>3037410</t>
  </si>
  <si>
    <t>Multicast</t>
  </si>
  <si>
    <t>MulticastGames</t>
  </si>
  <si>
    <t>744900</t>
  </si>
  <si>
    <t>Creaky Corpse Ltd</t>
  </si>
  <si>
    <t>1928420</t>
  </si>
  <si>
    <t>Farlight Games</t>
  </si>
  <si>
    <t>24200</t>
  </si>
  <si>
    <t>Dimensional Ink Games</t>
  </si>
  <si>
    <t>236110</t>
  </si>
  <si>
    <t>3183280</t>
  </si>
  <si>
    <t>636040</t>
  </si>
  <si>
    <t>Social First Oy</t>
  </si>
  <si>
    <t>611500</t>
  </si>
  <si>
    <t>2977660</t>
  </si>
  <si>
    <t>100 Cozy Games</t>
  </si>
  <si>
    <t>1549250</t>
  </si>
  <si>
    <t>Needs Games</t>
  </si>
  <si>
    <t>LINE Games Corporation</t>
  </si>
  <si>
    <t>Game Name</t>
  </si>
  <si>
    <t>Player Count</t>
  </si>
  <si>
    <t>free_or_paid</t>
  </si>
  <si>
    <t>Free-To-Play</t>
  </si>
  <si>
    <t>Paid Purchase</t>
  </si>
  <si>
    <t>Release Year</t>
  </si>
  <si>
    <t>Average Game Price</t>
  </si>
  <si>
    <t>Percent Change</t>
  </si>
  <si>
    <t>Row Labels</t>
  </si>
  <si>
    <t>Positive Review Percentage</t>
  </si>
  <si>
    <t>Negative Review Percentage</t>
  </si>
  <si>
    <t>Average Game Price ($USD)</t>
  </si>
  <si>
    <t>Developer Name</t>
  </si>
  <si>
    <t>No Genre</t>
  </si>
  <si>
    <t>Average Game Price:</t>
  </si>
  <si>
    <t>Most Popular Game:</t>
  </si>
  <si>
    <t>Average Player Count:</t>
  </si>
  <si>
    <t>Steam Dataset Analytics Dashboard (July 2026)</t>
  </si>
  <si>
    <t>Player Count Percent Change</t>
  </si>
  <si>
    <t>Sum of player_count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</si>
</sst>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0.00;\(\$#,##0.00\);\$#,##0.00"/>
    <numFmt numFmtId="166" formatCode="&quot;$&quot;#,##0.00"/>
  </numFmts>
  <fonts count="4" x14ac:knownFonts="1">
    <font>
      <sz val="11"/>
      <color theme="1"/>
      <name val="Aptos Narrow"/>
      <family val="2"/>
      <scheme val="minor"/>
    </font>
    <font>
      <sz val="11"/>
      <color theme="1"/>
      <name val="Aptos Narrow"/>
      <family val="2"/>
      <scheme val="minor"/>
    </font>
    <font>
      <b/>
      <sz val="24"/>
      <color theme="1"/>
      <name val="Aptos Narrow"/>
      <family val="2"/>
      <scheme val="minor"/>
    </font>
    <font>
      <b/>
      <sz val="28"/>
      <color theme="4" tint="-0.499984740745262"/>
      <name val="Aptos Narrow"/>
      <family val="2"/>
      <scheme val="minor"/>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s>
  <cellStyleXfs count="2">
    <xf numFmtId="0" fontId="0" fillId="0" borderId="0"/>
    <xf numFmtId="43" fontId="1" fillId="0" borderId="0" applyFont="0" applyFill="0" applyBorder="0" applyAlignment="0" applyProtection="0"/>
  </cellStyleXfs>
  <cellXfs count="19">
    <xf numFmtId="0" fontId="0" fillId="0" borderId="0" xfId="0"/>
    <xf numFmtId="0" fontId="0" fillId="0" borderId="0" xfId="0" pivotButton="1"/>
    <xf numFmtId="0" fontId="0" fillId="0" borderId="0" xfId="0" applyAlignment="1">
      <alignment horizontal="left"/>
    </xf>
    <xf numFmtId="14" fontId="0" fillId="0" borderId="0" xfId="0" applyNumberFormat="1"/>
    <xf numFmtId="164" fontId="0" fillId="0" borderId="0" xfId="0" applyNumberFormat="1"/>
    <xf numFmtId="165" fontId="0" fillId="0" borderId="0" xfId="0" applyNumberFormat="1"/>
    <xf numFmtId="164" fontId="0" fillId="0" borderId="0" xfId="1" applyNumberFormat="1" applyFont="1"/>
    <xf numFmtId="0" fontId="2" fillId="0" borderId="0" xfId="0" applyFont="1" applyAlignment="1">
      <alignment horizontal="center"/>
    </xf>
    <xf numFmtId="0" fontId="0" fillId="0" borderId="1" xfId="0" applyBorder="1" applyAlignment="1">
      <alignment horizontal="left"/>
    </xf>
    <xf numFmtId="164" fontId="0" fillId="0" borderId="1" xfId="0" applyNumberFormat="1" applyBorder="1"/>
    <xf numFmtId="3" fontId="0" fillId="0" borderId="1" xfId="0" applyNumberFormat="1" applyBorder="1"/>
    <xf numFmtId="10" fontId="0" fillId="0" borderId="1" xfId="0" applyNumberFormat="1" applyBorder="1"/>
    <xf numFmtId="165" fontId="0" fillId="0" borderId="1" xfId="0" applyNumberFormat="1" applyBorder="1"/>
    <xf numFmtId="9" fontId="0" fillId="0" borderId="1" xfId="0" applyNumberFormat="1" applyBorder="1"/>
    <xf numFmtId="2" fontId="0" fillId="0" borderId="1" xfId="0" applyNumberFormat="1" applyBorder="1"/>
    <xf numFmtId="166" fontId="0" fillId="0" borderId="1" xfId="0" applyNumberFormat="1" applyBorder="1"/>
    <xf numFmtId="0" fontId="3" fillId="0" borderId="0" xfId="0" applyFont="1" applyAlignment="1">
      <alignment horizontal="center"/>
    </xf>
    <xf numFmtId="0" fontId="0" fillId="0" borderId="2" xfId="0" applyBorder="1"/>
    <xf numFmtId="0" fontId="0" fillId="0" borderId="3" xfId="0" applyBorder="1"/>
  </cellXfs>
  <cellStyles count="2">
    <cellStyle name="Comma" xfId="1" builtinId="3"/>
    <cellStyle name="Normal" xfId="0" builtinId="0"/>
  </cellStyles>
  <dxfs count="45">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border>
        <left style="thin">
          <color indexed="64"/>
        </left>
        <right style="thin">
          <color indexed="64"/>
        </right>
        <top style="thin">
          <color indexed="64"/>
        </top>
      </border>
    </dxf>
    <dxf>
      <border>
        <left style="thin">
          <color indexed="64"/>
        </left>
        <right style="thin">
          <color indexed="64"/>
        </right>
        <top style="thin">
          <color indexed="64"/>
        </top>
      </border>
    </dxf>
    <dxf>
      <numFmt numFmtId="14" formatCode="0.00%"/>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numFmt numFmtId="164" formatCode="_(* #,##0_);_(* \(#,##0\);_(*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2" formatCode="0.00"/>
    </dxf>
    <dxf>
      <numFmt numFmtId="167" formatCode="0.0000"/>
    </dxf>
  </dxfs>
  <tableStyles count="0" defaultTableStyle="TableStyleMedium2" defaultPivotStyle="PivotStyleLight16"/>
  <colors>
    <mruColors>
      <color rgb="FFFF4B21"/>
      <color rgb="FFFF7A5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07/relationships/slicerCache" Target="slicerCaches/slicerCache4.xml"/><Relationship Id="rId21" Type="http://schemas.openxmlformats.org/officeDocument/2006/relationships/pivotCacheDefinition" Target="pivotCache/pivotCacheDefinition11.xml"/><Relationship Id="rId34" Type="http://schemas.openxmlformats.org/officeDocument/2006/relationships/connections" Target="connections.xml"/><Relationship Id="rId42" Type="http://schemas.openxmlformats.org/officeDocument/2006/relationships/customXml" Target="../customXml/item3.xml"/><Relationship Id="rId47" Type="http://schemas.openxmlformats.org/officeDocument/2006/relationships/customXml" Target="../customXml/item8.xml"/><Relationship Id="rId50" Type="http://schemas.openxmlformats.org/officeDocument/2006/relationships/customXml" Target="../customXml/item11.xml"/><Relationship Id="rId55" Type="http://schemas.openxmlformats.org/officeDocument/2006/relationships/customXml" Target="../customXml/item16.xml"/><Relationship Id="rId63" Type="http://schemas.openxmlformats.org/officeDocument/2006/relationships/customXml" Target="../customXml/item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9" Type="http://schemas.openxmlformats.org/officeDocument/2006/relationships/pivotCacheDefinition" Target="pivotCache/pivotCacheDefinition15.xml"/><Relationship Id="rId11" Type="http://schemas.openxmlformats.org/officeDocument/2006/relationships/pivotCacheDefinition" Target="pivotCache/pivotCacheDefinition1.xml"/><Relationship Id="rId24" Type="http://schemas.microsoft.com/office/2007/relationships/slicerCache" Target="slicerCaches/slicerCache2.xml"/><Relationship Id="rId32" Type="http://schemas.microsoft.com/office/2011/relationships/timelineCache" Target="timelineCaches/timelineCache3.xml"/><Relationship Id="rId37" Type="http://schemas.openxmlformats.org/officeDocument/2006/relationships/sheetMetadata" Target="metadata.xml"/><Relationship Id="rId40" Type="http://schemas.openxmlformats.org/officeDocument/2006/relationships/customXml" Target="../customXml/item1.xml"/><Relationship Id="rId45" Type="http://schemas.openxmlformats.org/officeDocument/2006/relationships/customXml" Target="../customXml/item6.xml"/><Relationship Id="rId53" Type="http://schemas.openxmlformats.org/officeDocument/2006/relationships/customXml" Target="../customXml/item14.xml"/><Relationship Id="rId58" Type="http://schemas.openxmlformats.org/officeDocument/2006/relationships/customXml" Target="../customXml/item19.xml"/><Relationship Id="rId66" Type="http://schemas.openxmlformats.org/officeDocument/2006/relationships/customXml" Target="../customXml/item27.xml"/><Relationship Id="rId5" Type="http://schemas.openxmlformats.org/officeDocument/2006/relationships/worksheet" Target="worksheets/sheet5.xml"/><Relationship Id="rId61" Type="http://schemas.openxmlformats.org/officeDocument/2006/relationships/customXml" Target="../customXml/item22.xml"/><Relationship Id="rId19" Type="http://schemas.openxmlformats.org/officeDocument/2006/relationships/pivotCacheDefinition" Target="pivotCache/pivotCacheDefinition9.xml"/><Relationship Id="rId14" Type="http://schemas.openxmlformats.org/officeDocument/2006/relationships/pivotCacheDefinition" Target="pivotCache/pivotCacheDefinition4.xml"/><Relationship Id="rId22" Type="http://schemas.openxmlformats.org/officeDocument/2006/relationships/pivotCacheDefinition" Target="pivotCache/pivotCacheDefinition12.xml"/><Relationship Id="rId27" Type="http://schemas.openxmlformats.org/officeDocument/2006/relationships/pivotCacheDefinition" Target="pivotCache/pivotCacheDefinition13.xml"/><Relationship Id="rId30" Type="http://schemas.microsoft.com/office/2011/relationships/timelineCache" Target="timelineCaches/timelineCache1.xml"/><Relationship Id="rId35" Type="http://schemas.openxmlformats.org/officeDocument/2006/relationships/styles" Target="styles.xml"/><Relationship Id="rId43" Type="http://schemas.openxmlformats.org/officeDocument/2006/relationships/customXml" Target="../customXml/item4.xml"/><Relationship Id="rId48" Type="http://schemas.openxmlformats.org/officeDocument/2006/relationships/customXml" Target="../customXml/item9.xml"/><Relationship Id="rId56" Type="http://schemas.openxmlformats.org/officeDocument/2006/relationships/customXml" Target="../customXml/item17.xml"/><Relationship Id="rId64" Type="http://schemas.openxmlformats.org/officeDocument/2006/relationships/customXml" Target="../customXml/item25.xml"/><Relationship Id="rId8" Type="http://schemas.openxmlformats.org/officeDocument/2006/relationships/worksheet" Target="worksheets/sheet8.xml"/><Relationship Id="rId51" Type="http://schemas.openxmlformats.org/officeDocument/2006/relationships/customXml" Target="../customXml/item12.xml"/><Relationship Id="rId3" Type="http://schemas.openxmlformats.org/officeDocument/2006/relationships/worksheet" Target="worksheets/sheet3.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microsoft.com/office/2007/relationships/slicerCache" Target="slicerCaches/slicerCache3.xml"/><Relationship Id="rId33" Type="http://schemas.openxmlformats.org/officeDocument/2006/relationships/theme" Target="theme/theme1.xml"/><Relationship Id="rId38" Type="http://schemas.openxmlformats.org/officeDocument/2006/relationships/powerPivotData" Target="model/item.data"/><Relationship Id="rId46" Type="http://schemas.openxmlformats.org/officeDocument/2006/relationships/customXml" Target="../customXml/item7.xml"/><Relationship Id="rId59" Type="http://schemas.openxmlformats.org/officeDocument/2006/relationships/customXml" Target="../customXml/item20.xml"/><Relationship Id="rId67" Type="http://schemas.openxmlformats.org/officeDocument/2006/relationships/customXml" Target="../customXml/item28.xml"/><Relationship Id="rId20" Type="http://schemas.openxmlformats.org/officeDocument/2006/relationships/pivotCacheDefinition" Target="pivotCache/pivotCacheDefinition10.xml"/><Relationship Id="rId41" Type="http://schemas.openxmlformats.org/officeDocument/2006/relationships/customXml" Target="../customXml/item2.xml"/><Relationship Id="rId54" Type="http://schemas.openxmlformats.org/officeDocument/2006/relationships/customXml" Target="../customXml/item15.xml"/><Relationship Id="rId62" Type="http://schemas.openxmlformats.org/officeDocument/2006/relationships/customXml" Target="../customXml/item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5.xml"/><Relationship Id="rId23" Type="http://schemas.microsoft.com/office/2007/relationships/slicerCache" Target="slicerCaches/slicerCache1.xml"/><Relationship Id="rId28" Type="http://schemas.openxmlformats.org/officeDocument/2006/relationships/pivotCacheDefinition" Target="pivotCache/pivotCacheDefinition14.xml"/><Relationship Id="rId36" Type="http://schemas.openxmlformats.org/officeDocument/2006/relationships/sharedStrings" Target="sharedStrings.xml"/><Relationship Id="rId49" Type="http://schemas.openxmlformats.org/officeDocument/2006/relationships/customXml" Target="../customXml/item10.xml"/><Relationship Id="rId57" Type="http://schemas.openxmlformats.org/officeDocument/2006/relationships/customXml" Target="../customXml/item18.xml"/><Relationship Id="rId10" Type="http://schemas.openxmlformats.org/officeDocument/2006/relationships/worksheet" Target="worksheets/sheet10.xml"/><Relationship Id="rId31" Type="http://schemas.microsoft.com/office/2011/relationships/timelineCache" Target="timelineCaches/timelineCache2.xml"/><Relationship Id="rId44" Type="http://schemas.openxmlformats.org/officeDocument/2006/relationships/customXml" Target="../customXml/item5.xml"/><Relationship Id="rId52" Type="http://schemas.openxmlformats.org/officeDocument/2006/relationships/customXml" Target="../customXml/item13.xml"/><Relationship Id="rId60" Type="http://schemas.openxmlformats.org/officeDocument/2006/relationships/customXml" Target="../customXml/item21.xml"/><Relationship Id="rId65" Type="http://schemas.openxmlformats.org/officeDocument/2006/relationships/customXml" Target="../customXml/item26.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3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db_data!$D$2:$D$11</c:f>
              <c:strCache>
                <c:ptCount val="10"/>
                <c:pt idx="0">
                  <c:v>Don't Starve Together</c:v>
                </c:pt>
                <c:pt idx="1">
                  <c:v>Satisfactory</c:v>
                </c:pt>
                <c:pt idx="2">
                  <c:v>Mount &amp; Blade II: Bannerlord</c:v>
                </c:pt>
                <c:pt idx="3">
                  <c:v>Total War: WARHAMMER III</c:v>
                </c:pt>
                <c:pt idx="4">
                  <c:v>Sid Meier’s Civilization® VI</c:v>
                </c:pt>
                <c:pt idx="5">
                  <c:v>RimWorld</c:v>
                </c:pt>
                <c:pt idx="6">
                  <c:v>7 Days to Die</c:v>
                </c:pt>
                <c:pt idx="7">
                  <c:v>Football Manager 26</c:v>
                </c:pt>
                <c:pt idx="8">
                  <c:v>Hearts of Iron IV</c:v>
                </c:pt>
                <c:pt idx="9">
                  <c:v>Baldur's Gate 3</c:v>
                </c:pt>
              </c:strCache>
            </c:strRef>
          </c:cat>
          <c:val>
            <c:numRef>
              <c:f>db_data!$E$2:$E$11</c:f>
              <c:numCache>
                <c:formatCode>General</c:formatCode>
                <c:ptCount val="10"/>
                <c:pt idx="0">
                  <c:v>24424</c:v>
                </c:pt>
                <c:pt idx="1">
                  <c:v>25440</c:v>
                </c:pt>
                <c:pt idx="2">
                  <c:v>27300</c:v>
                </c:pt>
                <c:pt idx="3">
                  <c:v>29024</c:v>
                </c:pt>
                <c:pt idx="4">
                  <c:v>29477</c:v>
                </c:pt>
                <c:pt idx="5">
                  <c:v>31237</c:v>
                </c:pt>
                <c:pt idx="6">
                  <c:v>34229</c:v>
                </c:pt>
                <c:pt idx="7">
                  <c:v>42516</c:v>
                </c:pt>
                <c:pt idx="8">
                  <c:v>46308</c:v>
                </c:pt>
                <c:pt idx="9">
                  <c:v>54369</c:v>
                </c:pt>
              </c:numCache>
            </c:numRef>
          </c:val>
          <c:extLst>
            <c:ext xmlns:c16="http://schemas.microsoft.com/office/drawing/2014/chart" uri="{C3380CC4-5D6E-409C-BE32-E72D297353CC}">
              <c16:uniqueId val="{00000000-3F16-4639-86D1-4A030D505B54}"/>
            </c:ext>
          </c:extLst>
        </c:ser>
        <c:dLbls>
          <c:showLegendKey val="0"/>
          <c:showVal val="0"/>
          <c:showCatName val="0"/>
          <c:showSerName val="0"/>
          <c:showPercent val="0"/>
          <c:showBubbleSize val="0"/>
        </c:dLbls>
        <c:gapWidth val="100"/>
        <c:axId val="514029776"/>
        <c:axId val="478736848"/>
      </c:barChart>
      <c:catAx>
        <c:axId val="514029776"/>
        <c:scaling>
          <c:orientation val="minMax"/>
        </c:scaling>
        <c:delete val="0"/>
        <c:axPos val="l"/>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78736848"/>
        <c:crosses val="autoZero"/>
        <c:auto val="1"/>
        <c:lblAlgn val="ctr"/>
        <c:lblOffset val="100"/>
        <c:noMultiLvlLbl val="0"/>
      </c:catAx>
      <c:valAx>
        <c:axId val="478736848"/>
        <c:scaling>
          <c:orientation val="minMax"/>
        </c:scaling>
        <c:delete val="0"/>
        <c:axPos val="b"/>
        <c:majorGridlines>
          <c:spPr>
            <a:ln w="9525" cap="flat" cmpd="sng" algn="ctr">
              <a:solidFill>
                <a:schemeClr val="tx2">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Concurrent</a:t>
                </a:r>
                <a:r>
                  <a:rPr lang="en-US" baseline="0"/>
                  <a:t> Player Count</a:t>
                </a:r>
                <a:endParaRPr lang="en-US"/>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t;=1000000]0.0,,&quot;M&quot;;[&gt;=1000]0.0,&quot;K&quot;;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14029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Steam Games by Popularity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barChart>
        <c:barDir val="bar"/>
        <c:grouping val="clustered"/>
        <c:varyColors val="0"/>
        <c:ser>
          <c:idx val="0"/>
          <c:order val="0"/>
          <c:tx>
            <c:strRef>
              <c:f>'Steam Games by Popularity'!$B$1</c:f>
              <c:strCache>
                <c:ptCount val="1"/>
                <c:pt idx="0">
                  <c:v>Player Count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'Steam Games by Popularity'!$A$2:$A$26</c:f>
              <c:strCache>
                <c:ptCount val="25"/>
                <c:pt idx="0">
                  <c:v>Baldur's Gate 3</c:v>
                </c:pt>
                <c:pt idx="1">
                  <c:v>Delta Force</c:v>
                </c:pt>
                <c:pt idx="2">
                  <c:v>War Thunder</c:v>
                </c:pt>
                <c:pt idx="3">
                  <c:v>Tom Clancy's Rainbow Six Siege</c:v>
                </c:pt>
                <c:pt idx="4">
                  <c:v>Slay the Spire 2</c:v>
                </c:pt>
                <c:pt idx="5">
                  <c:v>Team Fortress 2</c:v>
                </c:pt>
                <c:pt idx="6">
                  <c:v>Stardew Valley</c:v>
                </c:pt>
                <c:pt idx="7">
                  <c:v>Geometry Dash</c:v>
                </c:pt>
                <c:pt idx="8">
                  <c:v>Warframe</c:v>
                </c:pt>
                <c:pt idx="9">
                  <c:v>Wallpaper Engine</c:v>
                </c:pt>
                <c:pt idx="10">
                  <c:v>Dead by Daylight</c:v>
                </c:pt>
                <c:pt idx="11">
                  <c:v>Grand Theft Auto V Enhanced</c:v>
                </c:pt>
                <c:pt idx="12">
                  <c:v>Apex Legends™</c:v>
                </c:pt>
                <c:pt idx="13">
                  <c:v>Marvel Rivals</c:v>
                </c:pt>
                <c:pt idx="14">
                  <c:v>Grand Theft Auto V Legacy</c:v>
                </c:pt>
                <c:pt idx="15">
                  <c:v>The Binding of Isaac: Rebirth</c:v>
                </c:pt>
                <c:pt idx="16">
                  <c:v>EA SPORTS FC™ 26</c:v>
                </c:pt>
                <c:pt idx="17">
                  <c:v>Rust</c:v>
                </c:pt>
                <c:pt idx="18">
                  <c:v>Bongo Cat</c:v>
                </c:pt>
                <c:pt idx="19">
                  <c:v>FiveM</c:v>
                </c:pt>
                <c:pt idx="20">
                  <c:v>TBH: Task Bar Hero</c:v>
                </c:pt>
                <c:pt idx="21">
                  <c:v>PUBG: BATTLEGROUNDS</c:v>
                </c:pt>
                <c:pt idx="22">
                  <c:v>Palworld</c:v>
                </c:pt>
                <c:pt idx="23">
                  <c:v>Dota 2</c:v>
                </c:pt>
                <c:pt idx="24">
                  <c:v>Counter-Strike 2</c:v>
                </c:pt>
              </c:strCache>
            </c:strRef>
          </c:cat>
          <c:val>
            <c:numRef>
              <c:f>'Steam Games by Popularity'!$B$2:$B$26</c:f>
              <c:numCache>
                <c:formatCode>_(* #,##0_);_(* \(#,##0\);_(* "-"??_);_(@_)</c:formatCode>
                <c:ptCount val="25"/>
                <c:pt idx="0">
                  <c:v>54369</c:v>
                </c:pt>
                <c:pt idx="1">
                  <c:v>56127</c:v>
                </c:pt>
                <c:pt idx="2">
                  <c:v>56360</c:v>
                </c:pt>
                <c:pt idx="3">
                  <c:v>58825</c:v>
                </c:pt>
                <c:pt idx="4">
                  <c:v>59167</c:v>
                </c:pt>
                <c:pt idx="5">
                  <c:v>59187</c:v>
                </c:pt>
                <c:pt idx="6">
                  <c:v>59392</c:v>
                </c:pt>
                <c:pt idx="7">
                  <c:v>61549</c:v>
                </c:pt>
                <c:pt idx="8">
                  <c:v>65746</c:v>
                </c:pt>
                <c:pt idx="9">
                  <c:v>67312</c:v>
                </c:pt>
                <c:pt idx="10">
                  <c:v>72787</c:v>
                </c:pt>
                <c:pt idx="11">
                  <c:v>80142</c:v>
                </c:pt>
                <c:pt idx="12">
                  <c:v>82358</c:v>
                </c:pt>
                <c:pt idx="13">
                  <c:v>86292</c:v>
                </c:pt>
                <c:pt idx="14">
                  <c:v>89897</c:v>
                </c:pt>
                <c:pt idx="15">
                  <c:v>97795</c:v>
                </c:pt>
                <c:pt idx="16">
                  <c:v>126730</c:v>
                </c:pt>
                <c:pt idx="17">
                  <c:v>137474</c:v>
                </c:pt>
                <c:pt idx="18">
                  <c:v>161822</c:v>
                </c:pt>
                <c:pt idx="19">
                  <c:v>171838</c:v>
                </c:pt>
                <c:pt idx="20">
                  <c:v>234374</c:v>
                </c:pt>
                <c:pt idx="21">
                  <c:v>275556</c:v>
                </c:pt>
                <c:pt idx="22">
                  <c:v>641309</c:v>
                </c:pt>
                <c:pt idx="23">
                  <c:v>705245</c:v>
                </c:pt>
                <c:pt idx="24">
                  <c:v>1069883</c:v>
                </c:pt>
              </c:numCache>
            </c:numRef>
          </c:val>
          <c:extLst>
            <c:ext xmlns:c16="http://schemas.microsoft.com/office/drawing/2014/chart" uri="{C3380CC4-5D6E-409C-BE32-E72D297353CC}">
              <c16:uniqueId val="{00000000-DF75-4112-BC1E-F79D9B757BED}"/>
            </c:ext>
          </c:extLst>
        </c:ser>
        <c:dLbls>
          <c:showLegendKey val="0"/>
          <c:showVal val="0"/>
          <c:showCatName val="0"/>
          <c:showSerName val="0"/>
          <c:showPercent val="0"/>
          <c:showBubbleSize val="0"/>
        </c:dLbls>
        <c:gapWidth val="100"/>
        <c:axId val="112771712"/>
        <c:axId val="529153456"/>
      </c:barChart>
      <c:catAx>
        <c:axId val="112771712"/>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29153456"/>
        <c:crosses val="autoZero"/>
        <c:auto val="1"/>
        <c:lblAlgn val="ctr"/>
        <c:lblOffset val="100"/>
        <c:noMultiLvlLbl val="0"/>
      </c:catAx>
      <c:valAx>
        <c:axId val="529153456"/>
        <c:scaling>
          <c:orientation val="minMax"/>
        </c:scaling>
        <c:delete val="0"/>
        <c:axPos val="b"/>
        <c:majorGridlines>
          <c:spPr>
            <a:ln w="9525" cap="flat" cmpd="sng" algn="ctr">
              <a:solidFill>
                <a:schemeClr val="tx2">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Concurrent Player Count</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0,\K"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27717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Top 15 Free-To-Play Vs. Paid Purchase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barChart>
        <c:barDir val="bar"/>
        <c:grouping val="clustered"/>
        <c:varyColors val="0"/>
        <c:ser>
          <c:idx val="0"/>
          <c:order val="0"/>
          <c:tx>
            <c:strRef>
              <c:f>'Top 15 Free Vs. Paid'!$D$1</c:f>
              <c:strCache>
                <c:ptCount val="1"/>
                <c:pt idx="0">
                  <c:v>Player Count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'Top 15 Free Vs. Paid'!$C$2:$C$16</c:f>
              <c:strCache>
                <c:ptCount val="15"/>
                <c:pt idx="0">
                  <c:v>Path of Exile 2</c:v>
                </c:pt>
                <c:pt idx="1">
                  <c:v>DayZ</c:v>
                </c:pt>
                <c:pt idx="2">
                  <c:v>Baldur's Gate 3</c:v>
                </c:pt>
                <c:pt idx="3">
                  <c:v>Slay the Spire 2</c:v>
                </c:pt>
                <c:pt idx="4">
                  <c:v>Stardew Valley</c:v>
                </c:pt>
                <c:pt idx="5">
                  <c:v>Geometry Dash</c:v>
                </c:pt>
                <c:pt idx="6">
                  <c:v>Wallpaper Engine</c:v>
                </c:pt>
                <c:pt idx="7">
                  <c:v>Dead by Daylight</c:v>
                </c:pt>
                <c:pt idx="8">
                  <c:v>Grand Theft Auto V Enhanced</c:v>
                </c:pt>
                <c:pt idx="9">
                  <c:v>Grand Theft Auto V Legacy</c:v>
                </c:pt>
                <c:pt idx="10">
                  <c:v>The Binding of Isaac: Rebirth</c:v>
                </c:pt>
                <c:pt idx="11">
                  <c:v>EA SPORTS FC™ 26</c:v>
                </c:pt>
                <c:pt idx="12">
                  <c:v>Rust</c:v>
                </c:pt>
                <c:pt idx="13">
                  <c:v>FiveM</c:v>
                </c:pt>
                <c:pt idx="14">
                  <c:v>Palworld</c:v>
                </c:pt>
              </c:strCache>
            </c:strRef>
          </c:cat>
          <c:val>
            <c:numRef>
              <c:f>'Top 15 Free Vs. Paid'!$D$2:$D$16</c:f>
              <c:numCache>
                <c:formatCode>General</c:formatCode>
                <c:ptCount val="15"/>
                <c:pt idx="0">
                  <c:v>52181</c:v>
                </c:pt>
                <c:pt idx="1">
                  <c:v>53734</c:v>
                </c:pt>
                <c:pt idx="2">
                  <c:v>54369</c:v>
                </c:pt>
                <c:pt idx="3">
                  <c:v>59167</c:v>
                </c:pt>
                <c:pt idx="4">
                  <c:v>59392</c:v>
                </c:pt>
                <c:pt idx="5">
                  <c:v>61549</c:v>
                </c:pt>
                <c:pt idx="6">
                  <c:v>67312</c:v>
                </c:pt>
                <c:pt idx="7">
                  <c:v>72787</c:v>
                </c:pt>
                <c:pt idx="8">
                  <c:v>80142</c:v>
                </c:pt>
                <c:pt idx="9">
                  <c:v>89897</c:v>
                </c:pt>
                <c:pt idx="10">
                  <c:v>97795</c:v>
                </c:pt>
                <c:pt idx="11">
                  <c:v>126730</c:v>
                </c:pt>
                <c:pt idx="12">
                  <c:v>137474</c:v>
                </c:pt>
                <c:pt idx="13">
                  <c:v>171838</c:v>
                </c:pt>
                <c:pt idx="14">
                  <c:v>641309</c:v>
                </c:pt>
              </c:numCache>
            </c:numRef>
          </c:val>
          <c:extLst>
            <c:ext xmlns:c16="http://schemas.microsoft.com/office/drawing/2014/chart" uri="{C3380CC4-5D6E-409C-BE32-E72D297353CC}">
              <c16:uniqueId val="{00000000-933C-4209-975B-13E2BE5BD4B3}"/>
            </c:ext>
          </c:extLst>
        </c:ser>
        <c:dLbls>
          <c:showLegendKey val="0"/>
          <c:showVal val="0"/>
          <c:showCatName val="0"/>
          <c:showSerName val="0"/>
          <c:showPercent val="0"/>
          <c:showBubbleSize val="0"/>
        </c:dLbls>
        <c:gapWidth val="100"/>
        <c:axId val="381041967"/>
        <c:axId val="2007219759"/>
      </c:barChart>
      <c:catAx>
        <c:axId val="381041967"/>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07219759"/>
        <c:crosses val="autoZero"/>
        <c:auto val="1"/>
        <c:lblAlgn val="ctr"/>
        <c:lblOffset val="100"/>
        <c:noMultiLvlLbl val="0"/>
      </c:catAx>
      <c:valAx>
        <c:axId val="2007219759"/>
        <c:scaling>
          <c:orientation val="minMax"/>
          <c:min val="25000"/>
        </c:scaling>
        <c:delete val="0"/>
        <c:axPos val="b"/>
        <c:majorGridlines>
          <c:spPr>
            <a:ln w="9525" cap="flat" cmpd="sng" algn="ctr">
              <a:solidFill>
                <a:schemeClr val="tx2">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Concurrent</a:t>
                </a:r>
                <a:r>
                  <a:rPr lang="en-US" baseline="0"/>
                  <a:t> Player Count</a:t>
                </a:r>
                <a:endParaRPr lang="en-US"/>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t;=1000000]0.0,,&quot;M&quot;;[&gt;=10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8104196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[steam_db_dashboard.xlsx]Top 15 Free Vs. Paid!PivotTable3</c:name>
    <c:fmtId val="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Free-To-Play Vs. Paid Purchase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c:spPr>
        <c:dLbl>
          <c:idx val="0"/>
          <c:layout>
            <c:manualLayout>
              <c:x val="5.4040026246719157E-2"/>
              <c:y val="-1.87846310877806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c:spPr>
        <c:dLbl>
          <c:idx val="0"/>
          <c:layout>
            <c:manualLayout>
              <c:x val="-6.8689304461942255E-2"/>
              <c:y val="-2.03178769320501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c:spPr>
        <c:dLbl>
          <c:idx val="0"/>
          <c:layout>
            <c:manualLayout>
              <c:x val="5.4040026246719157E-2"/>
              <c:y val="-1.87846310877806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c:spPr>
        <c:dLbl>
          <c:idx val="0"/>
          <c:layout>
            <c:manualLayout>
              <c:x val="-6.8689304461942255E-2"/>
              <c:y val="-2.03178769320501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c:spPr>
        <c:dLbl>
          <c:idx val="0"/>
          <c:layout>
            <c:manualLayout>
              <c:x val="5.4040026246719157E-2"/>
              <c:y val="-1.87846310877806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c:spPr>
        <c:dLbl>
          <c:idx val="0"/>
          <c:layout>
            <c:manualLayout>
              <c:x val="-6.8689304461942255E-2"/>
              <c:y val="-2.03178769320501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c:spPr>
      </c:pivotFmt>
      <c:pivotFmt>
        <c:idx val="13"/>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c:spPr>
      </c:pivotFmt>
    </c:pivotFmts>
    <c:plotArea>
      <c:layout/>
      <c:pieChart>
        <c:varyColors val="1"/>
        <c:ser>
          <c:idx val="0"/>
          <c:order val="0"/>
          <c:tx>
            <c:strRef>
              <c:f>'Top 15 Free Vs. Paid'!$B$19</c:f>
              <c:strCache>
                <c:ptCount val="1"/>
                <c:pt idx="0">
                  <c:v>Total</c:v>
                </c:pt>
              </c:strCache>
            </c:strRef>
          </c:tx>
          <c:dPt>
            <c:idx val="0"/>
            <c:bubble3D val="0"/>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c:spPr>
            <c:extLst>
              <c:ext xmlns:c16="http://schemas.microsoft.com/office/drawing/2014/chart" uri="{C3380CC4-5D6E-409C-BE32-E72D297353CC}">
                <c16:uniqueId val="{00000001-97EA-447F-9816-1341ADF94B7B}"/>
              </c:ext>
            </c:extLst>
          </c:dPt>
          <c:dPt>
            <c:idx val="1"/>
            <c:bubble3D val="0"/>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c:spPr>
            <c:extLst>
              <c:ext xmlns:c16="http://schemas.microsoft.com/office/drawing/2014/chart" uri="{C3380CC4-5D6E-409C-BE32-E72D297353CC}">
                <c16:uniqueId val="{00000003-97EA-447F-9816-1341ADF94B7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'Top 15 Free Vs. Paid'!$A$20:$A$21</c:f>
              <c:strCache>
                <c:ptCount val="2"/>
                <c:pt idx="0">
                  <c:v>Free-To-Play</c:v>
                </c:pt>
                <c:pt idx="1">
                  <c:v>Paid Purchase</c:v>
                </c:pt>
              </c:strCache>
            </c:strRef>
          </c:cat>
          <c:val>
            <c:numRef>
              <c:f>'Top 15 Free Vs. Paid'!$B$20:$B$21</c:f>
              <c:numCache>
                <c:formatCode>0.00%</c:formatCode>
                <c:ptCount val="2"/>
                <c:pt idx="0">
                  <c:v>0.4281009121524042</c:v>
                </c:pt>
                <c:pt idx="1">
                  <c:v>0.5718990878475958</c:v>
                </c:pt>
              </c:numCache>
            </c:numRef>
          </c:val>
          <c:extLst>
            <c:ext xmlns:c16="http://schemas.microsoft.com/office/drawing/2014/chart" uri="{C3380CC4-5D6E-409C-BE32-E72D297353CC}">
              <c16:uniqueId val="{00000004-97EA-447F-9816-1341ADF94B7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[steam_db_dashboard.xlsx]Genre Popularity!PivotTable7</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Top</a:t>
            </a:r>
            <a:r>
              <a:rPr lang="en-US" baseline="0"/>
              <a:t> 10 Steam Genres by Popularity</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'Genre Popularity'!$B$1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'Genre Popularity'!$A$2:$A$11</c:f>
              <c:strCache>
                <c:ptCount val="10"/>
                <c:pt idx="0">
                  <c:v>Free To Play</c:v>
                </c:pt>
                <c:pt idx="1">
                  <c:v>RPG</c:v>
                </c:pt>
                <c:pt idx="2">
                  <c:v>Strategy</c:v>
                </c:pt>
                <c:pt idx="3">
                  <c:v>Early Access</c:v>
                </c:pt>
                <c:pt idx="4">
                  <c:v>Action</c:v>
                </c:pt>
                <c:pt idx="5">
                  <c:v>Simulation</c:v>
                </c:pt>
                <c:pt idx="6">
                  <c:v>Adventure</c:v>
                </c:pt>
                <c:pt idx="7">
                  <c:v>Sports</c:v>
                </c:pt>
                <c:pt idx="8">
                  <c:v>No Genre</c:v>
                </c:pt>
                <c:pt idx="9">
                  <c:v>Indie</c:v>
                </c:pt>
              </c:strCache>
            </c:strRef>
          </c:cat>
          <c:val>
            <c:numRef>
              <c:f>'Genre Popularity'!$B$2:$B$11</c:f>
              <c:numCache>
                <c:formatCode>_(* #,##0_);_(* \(#,##0\);_(* "-"??_);_(@_)</c:formatCode>
                <c:ptCount val="10"/>
                <c:pt idx="0">
                  <c:v>3728304</c:v>
                </c:pt>
                <c:pt idx="1">
                  <c:v>1436626</c:v>
                </c:pt>
                <c:pt idx="2">
                  <c:v>944201</c:v>
                </c:pt>
                <c:pt idx="3">
                  <c:v>583438</c:v>
                </c:pt>
                <c:pt idx="4">
                  <c:v>492687</c:v>
                </c:pt>
                <c:pt idx="5">
                  <c:v>468409</c:v>
                </c:pt>
                <c:pt idx="6">
                  <c:v>390167</c:v>
                </c:pt>
                <c:pt idx="7">
                  <c:v>283653</c:v>
                </c:pt>
                <c:pt idx="8">
                  <c:v>197632</c:v>
                </c:pt>
                <c:pt idx="9">
                  <c:v>193639</c:v>
                </c:pt>
              </c:numCache>
            </c:numRef>
          </c:val>
          <c:extLst>
            <c:ext xmlns:c16="http://schemas.microsoft.com/office/drawing/2014/chart" uri="{C3380CC4-5D6E-409C-BE32-E72D297353CC}">
              <c16:uniqueId val="{00000000-4DAD-400B-BD6A-23DC14ECD8A3}"/>
            </c:ext>
          </c:extLst>
        </c:ser>
        <c:dLbls>
          <c:showLegendKey val="0"/>
          <c:showVal val="0"/>
          <c:showCatName val="0"/>
          <c:showSerName val="0"/>
          <c:showPercent val="0"/>
          <c:showBubbleSize val="0"/>
        </c:dLbls>
        <c:gapWidth val="100"/>
        <c:axId val="1136017599"/>
        <c:axId val="1139168655"/>
      </c:barChart>
      <c:catAx>
        <c:axId val="1136017599"/>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39168655"/>
        <c:crosses val="autoZero"/>
        <c:auto val="1"/>
        <c:lblAlgn val="ctr"/>
        <c:lblOffset val="100"/>
        <c:noMultiLvlLbl val="0"/>
      </c:catAx>
      <c:valAx>
        <c:axId val="1139168655"/>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baseline="0"/>
                  <a:t>Concurrent Player Count</a:t>
                </a:r>
                <a:endParaRPr lang="en-US"/>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t;=1000000]0.0,,&quot;M&quot;;[&gt;=10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36017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[steam_db_dashboard.xlsx]Game Count Each Year!PivotTable6</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Average</a:t>
            </a:r>
            <a:r>
              <a:rPr lang="en-US" baseline="0"/>
              <a:t> Steam Game Count Each Year</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1750" cap="rnd">
            <a:solidFill>
              <a:schemeClr val="accent1"/>
            </a:solidFill>
            <a:round/>
          </a:ln>
          <a:effectLst/>
        </c:spPr>
        <c:marker>
          <c:symbol val="circle"/>
          <c:size val="6"/>
          <c:spPr>
            <a:noFill/>
            <a:ln w="12700">
              <a:no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'Game Count Each Year'!$B$1</c:f>
              <c:strCache>
                <c:ptCount val="1"/>
                <c:pt idx="0">
                  <c:v>Player Count</c:v>
                </c:pt>
              </c:strCache>
            </c:strRef>
          </c:tx>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c:spPr>
          <c:invertIfNegative val="0"/>
          <c:cat>
            <c:strRef>
              <c:f>'Game Count Each Year'!$A$2:$A$25</c:f>
              <c:strCache>
                <c:ptCount val="24"/>
                <c:pt idx="0">
                  <c:v>1998</c:v>
                </c:pt>
                <c:pt idx="1">
                  <c:v>2000</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pt idx="21">
                  <c:v>2023</c:v>
                </c:pt>
                <c:pt idx="22">
                  <c:v>2024</c:v>
                </c:pt>
                <c:pt idx="23">
                  <c:v>2025</c:v>
                </c:pt>
              </c:strCache>
            </c:strRef>
          </c:cat>
          <c:val>
            <c:numRef>
              <c:f>'Game Count Each Year'!$B$2:$B$25</c:f>
              <c:numCache>
                <c:formatCode>#,##0</c:formatCode>
                <c:ptCount val="24"/>
                <c:pt idx="0">
                  <c:v>1085</c:v>
                </c:pt>
                <c:pt idx="1">
                  <c:v>11820</c:v>
                </c:pt>
                <c:pt idx="2">
                  <c:v>6366</c:v>
                </c:pt>
                <c:pt idx="3">
                  <c:v>1563</c:v>
                </c:pt>
                <c:pt idx="4">
                  <c:v>42101</c:v>
                </c:pt>
                <c:pt idx="5">
                  <c:v>61746</c:v>
                </c:pt>
                <c:pt idx="6">
                  <c:v>1566</c:v>
                </c:pt>
                <c:pt idx="7">
                  <c:v>30708</c:v>
                </c:pt>
                <c:pt idx="8">
                  <c:v>32138</c:v>
                </c:pt>
                <c:pt idx="9">
                  <c:v>39289</c:v>
                </c:pt>
                <c:pt idx="10">
                  <c:v>83302</c:v>
                </c:pt>
                <c:pt idx="11">
                  <c:v>941364</c:v>
                </c:pt>
                <c:pt idx="12">
                  <c:v>209684</c:v>
                </c:pt>
                <c:pt idx="13">
                  <c:v>333463</c:v>
                </c:pt>
                <c:pt idx="14">
                  <c:v>371563</c:v>
                </c:pt>
                <c:pt idx="15">
                  <c:v>501647</c:v>
                </c:pt>
                <c:pt idx="16">
                  <c:v>435420</c:v>
                </c:pt>
                <c:pt idx="17">
                  <c:v>215040</c:v>
                </c:pt>
                <c:pt idx="18">
                  <c:v>457092</c:v>
                </c:pt>
                <c:pt idx="19">
                  <c:v>266529</c:v>
                </c:pt>
                <c:pt idx="20">
                  <c:v>328745</c:v>
                </c:pt>
                <c:pt idx="21">
                  <c:v>1534674</c:v>
                </c:pt>
                <c:pt idx="22">
                  <c:v>676727</c:v>
                </c:pt>
                <c:pt idx="23">
                  <c:v>1051643</c:v>
                </c:pt>
              </c:numCache>
            </c:numRef>
          </c:val>
          <c:extLst>
            <c:ext xmlns:c16="http://schemas.microsoft.com/office/drawing/2014/chart" uri="{C3380CC4-5D6E-409C-BE32-E72D297353CC}">
              <c16:uniqueId val="{00000000-5A3F-4522-AEF2-5B25C093FC66}"/>
            </c:ext>
          </c:extLst>
        </c:ser>
        <c:dLbls>
          <c:showLegendKey val="0"/>
          <c:showVal val="0"/>
          <c:showCatName val="0"/>
          <c:showSerName val="0"/>
          <c:showPercent val="0"/>
          <c:showBubbleSize val="0"/>
        </c:dLbls>
        <c:gapWidth val="219"/>
        <c:overlap val="-27"/>
        <c:axId val="513894288"/>
        <c:axId val="478751248"/>
      </c:barChart>
      <c:lineChart>
        <c:grouping val="standard"/>
        <c:varyColors val="0"/>
        <c:ser>
          <c:idx val="1"/>
          <c:order val="1"/>
          <c:tx>
            <c:strRef>
              <c:f>'Game Count Each Year'!$C$1</c:f>
              <c:strCache>
                <c:ptCount val="1"/>
                <c:pt idx="0">
                  <c:v>Player Count Percent Change</c:v>
                </c:pt>
              </c:strCache>
            </c:strRef>
          </c:tx>
          <c:spPr>
            <a:ln w="31750" cap="rnd">
              <a:solidFill>
                <a:schemeClr val="accent1">
                  <a:tint val="77000"/>
                </a:schemeClr>
              </a:solidFill>
              <a:round/>
            </a:ln>
            <a:effectLst/>
          </c:spPr>
          <c:marker>
            <c:symbol val="circle"/>
            <c:size val="6"/>
            <c:spPr>
              <a:noFill/>
              <a:ln w="12700">
                <a:noFill/>
                <a:round/>
              </a:ln>
              <a:effectLst/>
            </c:spPr>
          </c:marker>
          <c:cat>
            <c:strRef>
              <c:f>'Game Count Each Year'!$A$2:$A$25</c:f>
              <c:strCache>
                <c:ptCount val="24"/>
                <c:pt idx="0">
                  <c:v>1998</c:v>
                </c:pt>
                <c:pt idx="1">
                  <c:v>2000</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pt idx="21">
                  <c:v>2023</c:v>
                </c:pt>
                <c:pt idx="22">
                  <c:v>2024</c:v>
                </c:pt>
                <c:pt idx="23">
                  <c:v>2025</c:v>
                </c:pt>
              </c:strCache>
            </c:strRef>
          </c:cat>
          <c:val>
            <c:numRef>
              <c:f>'Game Count Each Year'!$C$2:$C$25</c:f>
              <c:numCache>
                <c:formatCode>0.00%</c:formatCode>
                <c:ptCount val="24"/>
                <c:pt idx="1">
                  <c:v>9.8940092165898612</c:v>
                </c:pt>
                <c:pt idx="2">
                  <c:v>-0.46142131979695433</c:v>
                </c:pt>
                <c:pt idx="3">
                  <c:v>-0.75447690857681438</c:v>
                </c:pt>
                <c:pt idx="4">
                  <c:v>25.936020473448497</c:v>
                </c:pt>
                <c:pt idx="5">
                  <c:v>0.46661599486948052</c:v>
                </c:pt>
                <c:pt idx="6">
                  <c:v>-0.97463803323292197</c:v>
                </c:pt>
                <c:pt idx="7">
                  <c:v>18.609195402298852</c:v>
                </c:pt>
                <c:pt idx="8">
                  <c:v>4.6567669662628632E-2</c:v>
                </c:pt>
                <c:pt idx="9">
                  <c:v>0.22250917916485158</c:v>
                </c:pt>
                <c:pt idx="10">
                  <c:v>1.1202372165237089</c:v>
                </c:pt>
                <c:pt idx="11">
                  <c:v>10.300617032004034</c:v>
                </c:pt>
                <c:pt idx="12">
                  <c:v>-0.77725513191496598</c:v>
                </c:pt>
                <c:pt idx="13">
                  <c:v>0.59031208866675566</c:v>
                </c:pt>
                <c:pt idx="14">
                  <c:v>0.11425555458926477</c:v>
                </c:pt>
                <c:pt idx="15">
                  <c:v>0.35009944477787081</c:v>
                </c:pt>
                <c:pt idx="16">
                  <c:v>-0.13201912898910986</c:v>
                </c:pt>
                <c:pt idx="17">
                  <c:v>-0.50613201047264711</c:v>
                </c:pt>
                <c:pt idx="18">
                  <c:v>1.1256138392857142</c:v>
                </c:pt>
                <c:pt idx="19">
                  <c:v>-0.41690294295240343</c:v>
                </c:pt>
                <c:pt idx="20">
                  <c:v>0.23343050850001312</c:v>
                </c:pt>
                <c:pt idx="21">
                  <c:v>3.6682808864013139</c:v>
                </c:pt>
                <c:pt idx="22">
                  <c:v>-0.55904185514317695</c:v>
                </c:pt>
                <c:pt idx="23">
                  <c:v>0.55401365691039373</c:v>
                </c:pt>
              </c:numCache>
            </c:numRef>
          </c:val>
          <c:smooth val="0"/>
          <c:extLst>
            <c:ext xmlns:c16="http://schemas.microsoft.com/office/drawing/2014/chart" uri="{C3380CC4-5D6E-409C-BE32-E72D297353CC}">
              <c16:uniqueId val="{00000001-5A3F-4522-AEF2-5B25C093FC66}"/>
            </c:ext>
          </c:extLst>
        </c:ser>
        <c:dLbls>
          <c:showLegendKey val="0"/>
          <c:showVal val="0"/>
          <c:showCatName val="0"/>
          <c:showSerName val="0"/>
          <c:showPercent val="0"/>
          <c:showBubbleSize val="0"/>
        </c:dLbls>
        <c:marker val="1"/>
        <c:smooth val="0"/>
        <c:axId val="513951824"/>
        <c:axId val="478749808"/>
      </c:lineChart>
      <c:catAx>
        <c:axId val="513894288"/>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78751248"/>
        <c:crosses val="autoZero"/>
        <c:auto val="1"/>
        <c:lblAlgn val="ctr"/>
        <c:lblOffset val="100"/>
        <c:noMultiLvlLbl val="0"/>
      </c:catAx>
      <c:valAx>
        <c:axId val="478751248"/>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Concurrent</a:t>
                </a:r>
                <a:r>
                  <a:rPr lang="en-US" baseline="0"/>
                  <a:t> Player Count</a:t>
                </a:r>
                <a:endParaRPr lang="en-US"/>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t;=1000000]0.0,,&quot;M&quot;;[&gt;=10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13894288"/>
        <c:crosses val="autoZero"/>
        <c:crossBetween val="between"/>
      </c:valAx>
      <c:valAx>
        <c:axId val="478749808"/>
        <c:scaling>
          <c:orientation val="minMax"/>
        </c:scaling>
        <c:delete val="0"/>
        <c:axPos val="r"/>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Player</a:t>
                </a:r>
                <a:r>
                  <a:rPr lang="en-US" baseline="0"/>
                  <a:t> Count Percent Change</a:t>
                </a:r>
                <a:endParaRPr lang="en-US"/>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13951824"/>
        <c:crosses val="max"/>
        <c:crossBetween val="between"/>
      </c:valAx>
      <c:catAx>
        <c:axId val="513951824"/>
        <c:scaling>
          <c:orientation val="minMax"/>
        </c:scaling>
        <c:delete val="1"/>
        <c:axPos val="b"/>
        <c:numFmt formatCode="General" sourceLinked="1"/>
        <c:majorTickMark val="none"/>
        <c:minorTickMark val="none"/>
        <c:tickLblPos val="nextTo"/>
        <c:crossAx val="478749808"/>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[steam_db_dashboard.xlsx]Game Price Each Year!PivotTable8</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Average</a:t>
            </a:r>
            <a:r>
              <a:rPr lang="en-US" baseline="0"/>
              <a:t> Steam Game Price Year Each Year ($USD)</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2">
                <a:lumMod val="10000"/>
                <a:lumOff val="9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317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'Game Price Each Year'!$B$1</c:f>
              <c:strCache>
                <c:ptCount val="1"/>
                <c:pt idx="0">
                  <c:v>Average Game Price</c:v>
                </c:pt>
              </c:strCache>
            </c:strRef>
          </c:tx>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solidFill>
                <a:schemeClr val="tx2">
                  <a:lumMod val="10000"/>
                  <a:lumOff val="90000"/>
                </a:schemeClr>
              </a:solidFill>
            </a:ln>
            <a:effectLst/>
          </c:spPr>
          <c:invertIfNegative val="0"/>
          <c:cat>
            <c:strRef>
              <c:f>'Game Price Each Year'!$A$2:$A$26</c:f>
              <c:strCache>
                <c:ptCount val="25"/>
                <c:pt idx="0">
                  <c:v>1998</c:v>
                </c:pt>
                <c:pt idx="1">
                  <c:v>2000</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pt idx="21">
                  <c:v>2023</c:v>
                </c:pt>
                <c:pt idx="22">
                  <c:v>2024</c:v>
                </c:pt>
                <c:pt idx="23">
                  <c:v>2025</c:v>
                </c:pt>
                <c:pt idx="24">
                  <c:v>2026</c:v>
                </c:pt>
              </c:strCache>
            </c:strRef>
          </c:cat>
          <c:val>
            <c:numRef>
              <c:f>'Game Price Each Year'!$B$2:$B$26</c:f>
              <c:numCache>
                <c:formatCode>\$#,##0.00;\(\$#,##0.00\);\$#,##0.00</c:formatCode>
                <c:ptCount val="25"/>
                <c:pt idx="0">
                  <c:v>9.99</c:v>
                </c:pt>
                <c:pt idx="1">
                  <c:v>9.99</c:v>
                </c:pt>
                <c:pt idx="2">
                  <c:v>9.99</c:v>
                </c:pt>
                <c:pt idx="3">
                  <c:v>19.989999999999998</c:v>
                </c:pt>
                <c:pt idx="4">
                  <c:v>14.989999999999998</c:v>
                </c:pt>
                <c:pt idx="5">
                  <c:v>9.99</c:v>
                </c:pt>
                <c:pt idx="6">
                  <c:v>9.99</c:v>
                </c:pt>
                <c:pt idx="7">
                  <c:v>17.132857142857141</c:v>
                </c:pt>
                <c:pt idx="8">
                  <c:v>24.156666666666666</c:v>
                </c:pt>
                <c:pt idx="9">
                  <c:v>16.614999999999998</c:v>
                </c:pt>
                <c:pt idx="10">
                  <c:v>19.15666666666667</c:v>
                </c:pt>
                <c:pt idx="11">
                  <c:v>25.347142857142863</c:v>
                </c:pt>
                <c:pt idx="12">
                  <c:v>22.140000000000004</c:v>
                </c:pt>
                <c:pt idx="13">
                  <c:v>27.28166666666667</c:v>
                </c:pt>
                <c:pt idx="14">
                  <c:v>27.297692307692312</c:v>
                </c:pt>
                <c:pt idx="15">
                  <c:v>30.058965517241383</c:v>
                </c:pt>
                <c:pt idx="16">
                  <c:v>31.210930232558145</c:v>
                </c:pt>
                <c:pt idx="17">
                  <c:v>35.01439024390244</c:v>
                </c:pt>
                <c:pt idx="18">
                  <c:v>32.297884615384618</c:v>
                </c:pt>
                <c:pt idx="19">
                  <c:v>31.609047619047622</c:v>
                </c:pt>
                <c:pt idx="20">
                  <c:v>39.143846153846155</c:v>
                </c:pt>
                <c:pt idx="21">
                  <c:v>38.530983606557349</c:v>
                </c:pt>
                <c:pt idx="22">
                  <c:v>37.513255813953421</c:v>
                </c:pt>
                <c:pt idx="23">
                  <c:v>36.60440677966092</c:v>
                </c:pt>
                <c:pt idx="24">
                  <c:v>27.989080459770086</c:v>
                </c:pt>
              </c:numCache>
            </c:numRef>
          </c:val>
          <c:extLst>
            <c:ext xmlns:c16="http://schemas.microsoft.com/office/drawing/2014/chart" uri="{C3380CC4-5D6E-409C-BE32-E72D297353CC}">
              <c16:uniqueId val="{0000000B-201C-40DA-ACF7-0F037D055C30}"/>
            </c:ext>
          </c:extLst>
        </c:ser>
        <c:dLbls>
          <c:showLegendKey val="0"/>
          <c:showVal val="0"/>
          <c:showCatName val="0"/>
          <c:showSerName val="0"/>
          <c:showPercent val="0"/>
          <c:showBubbleSize val="0"/>
        </c:dLbls>
        <c:gapWidth val="219"/>
        <c:axId val="115874480"/>
        <c:axId val="1139164815"/>
      </c:barChart>
      <c:lineChart>
        <c:grouping val="standard"/>
        <c:varyColors val="0"/>
        <c:ser>
          <c:idx val="1"/>
          <c:order val="1"/>
          <c:tx>
            <c:strRef>
              <c:f>'Game Price Each Year'!$C$1</c:f>
              <c:strCache>
                <c:ptCount val="1"/>
                <c:pt idx="0">
                  <c:v>Percent Change</c:v>
                </c:pt>
              </c:strCache>
            </c:strRef>
          </c:tx>
          <c:spPr>
            <a:ln w="31750" cap="rnd">
              <a:solidFill>
                <a:schemeClr val="accent1">
                  <a:tint val="77000"/>
                </a:schemeClr>
              </a:solidFill>
              <a:round/>
            </a:ln>
            <a:effectLst/>
          </c:spPr>
          <c:marker>
            <c:symbol val="none"/>
          </c:marker>
          <c:cat>
            <c:strRef>
              <c:f>'Game Price Each Year'!$A$2:$A$26</c:f>
              <c:strCache>
                <c:ptCount val="25"/>
                <c:pt idx="0">
                  <c:v>1998</c:v>
                </c:pt>
                <c:pt idx="1">
                  <c:v>2000</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pt idx="21">
                  <c:v>2023</c:v>
                </c:pt>
                <c:pt idx="22">
                  <c:v>2024</c:v>
                </c:pt>
                <c:pt idx="23">
                  <c:v>2025</c:v>
                </c:pt>
                <c:pt idx="24">
                  <c:v>2026</c:v>
                </c:pt>
              </c:strCache>
            </c:strRef>
          </c:cat>
          <c:val>
            <c:numRef>
              <c:f>'Game Price Each Year'!$C$2:$C$26</c:f>
              <c:numCache>
                <c:formatCode>General</c:formatCode>
                <c:ptCount val="25"/>
                <c:pt idx="1">
                  <c:v>0</c:v>
                </c:pt>
                <c:pt idx="2">
                  <c:v>0</c:v>
                </c:pt>
                <c:pt idx="3">
                  <c:v>1.0010010010010009</c:v>
                </c:pt>
                <c:pt idx="4">
                  <c:v>-0.25012506253126565</c:v>
                </c:pt>
                <c:pt idx="5">
                  <c:v>-0.33355570380253496</c:v>
                </c:pt>
                <c:pt idx="6">
                  <c:v>0</c:v>
                </c:pt>
                <c:pt idx="7">
                  <c:v>0.71500071500071471</c:v>
                </c:pt>
                <c:pt idx="8">
                  <c:v>0.40996136635259472</c:v>
                </c:pt>
                <c:pt idx="9">
                  <c:v>-0.3121981509590176</c:v>
                </c:pt>
                <c:pt idx="10">
                  <c:v>0.15297422008225528</c:v>
                </c:pt>
                <c:pt idx="11">
                  <c:v>0.32314996644211896</c:v>
                </c:pt>
                <c:pt idx="12">
                  <c:v>-0.12652877191004908</c:v>
                </c:pt>
                <c:pt idx="13">
                  <c:v>0.23223426678711223</c:v>
                </c:pt>
                <c:pt idx="14">
                  <c:v>5.8741429625422316E-4</c:v>
                </c:pt>
                <c:pt idx="15">
                  <c:v>0.10115408945286418</c:v>
                </c:pt>
                <c:pt idx="16">
                  <c:v>3.8323498347140779E-2</c:v>
                </c:pt>
                <c:pt idx="17">
                  <c:v>0.12186307755020578</c:v>
                </c:pt>
                <c:pt idx="18">
                  <c:v>-7.7582548477790114E-2</c:v>
                </c:pt>
                <c:pt idx="19">
                  <c:v>-2.1327619580660651E-2</c:v>
                </c:pt>
                <c:pt idx="20">
                  <c:v>0.23837474085293417</c:v>
                </c:pt>
                <c:pt idx="21">
                  <c:v>-1.5656676783371938E-2</c:v>
                </c:pt>
                <c:pt idx="22">
                  <c:v>-2.6413231569586179E-2</c:v>
                </c:pt>
                <c:pt idx="23">
                  <c:v>-2.4227410140029649E-2</c:v>
                </c:pt>
                <c:pt idx="24">
                  <c:v>-0.23536309089095531</c:v>
                </c:pt>
              </c:numCache>
            </c:numRef>
          </c:val>
          <c:smooth val="0"/>
          <c:extLst>
            <c:ext xmlns:c16="http://schemas.microsoft.com/office/drawing/2014/chart" uri="{C3380CC4-5D6E-409C-BE32-E72D297353CC}">
              <c16:uniqueId val="{0000000D-201C-40DA-ACF7-0F037D055C30}"/>
            </c:ext>
          </c:extLst>
        </c:ser>
        <c:dLbls>
          <c:showLegendKey val="0"/>
          <c:showVal val="0"/>
          <c:showCatName val="0"/>
          <c:showSerName val="0"/>
          <c:showPercent val="0"/>
          <c:showBubbleSize val="0"/>
        </c:dLbls>
        <c:marker val="1"/>
        <c:smooth val="0"/>
        <c:axId val="115114240"/>
        <c:axId val="1139153295"/>
      </c:lineChart>
      <c:catAx>
        <c:axId val="115874480"/>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39164815"/>
        <c:crosses val="autoZero"/>
        <c:auto val="1"/>
        <c:lblAlgn val="ctr"/>
        <c:lblOffset val="100"/>
        <c:noMultiLvlLbl val="0"/>
      </c:catAx>
      <c:valAx>
        <c:axId val="1139164815"/>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Average</a:t>
                </a:r>
                <a:r>
                  <a:rPr lang="en-US" baseline="0"/>
                  <a:t> Game Price (</a:t>
                </a:r>
                <a:r>
                  <a:rPr lang="en-US" sz="800" b="1" i="0" u="none" strike="noStrike" kern="1200" baseline="0">
                    <a:solidFill>
                      <a:srgbClr val="0E2841"/>
                    </a:solidFill>
                  </a:rPr>
                  <a:t>$USD)</a:t>
                </a:r>
                <a:endParaRPr lang="en-US"/>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5874480"/>
        <c:crosses val="autoZero"/>
        <c:crossBetween val="between"/>
      </c:valAx>
      <c:valAx>
        <c:axId val="1139153295"/>
        <c:scaling>
          <c:orientation val="minMax"/>
        </c:scaling>
        <c:delete val="0"/>
        <c:axPos val="r"/>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Percent</a:t>
                </a:r>
                <a:r>
                  <a:rPr lang="en-US" baseline="0"/>
                  <a:t> Change</a:t>
                </a:r>
                <a:endParaRPr lang="en-US"/>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5114240"/>
        <c:crosses val="max"/>
        <c:crossBetween val="between"/>
      </c:valAx>
      <c:catAx>
        <c:axId val="115114240"/>
        <c:scaling>
          <c:orientation val="minMax"/>
        </c:scaling>
        <c:delete val="1"/>
        <c:axPos val="b"/>
        <c:numFmt formatCode="General" sourceLinked="1"/>
        <c:majorTickMark val="out"/>
        <c:minorTickMark val="none"/>
        <c:tickLblPos val="nextTo"/>
        <c:crossAx val="1139153295"/>
        <c:crosses val="autoZero"/>
        <c:auto val="1"/>
        <c:lblAlgn val="ctr"/>
        <c:lblOffset val="100"/>
        <c:noMultiLvlLbl val="0"/>
      </c:catAx>
      <c:spPr>
        <a:noFill/>
        <a:ln>
          <a:noFill/>
        </a:ln>
        <a:effectLst/>
      </c:spPr>
    </c:plotArea>
    <c:plotVisOnly val="1"/>
    <c:dispBlanksAs val="gap"/>
    <c:showDLblsOverMax val="0"/>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[steam_db_dashboard.xlsx]Most Reviewed Games!PivotTable10</c:name>
    <c:fmtId val="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Most</a:t>
            </a:r>
            <a:r>
              <a:rPr lang="en-US" baseline="0"/>
              <a:t> Reviewed Steam Games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'Most Reviewed Games'!$B$1</c:f>
              <c:strCache>
                <c:ptCount val="1"/>
                <c:pt idx="0">
                  <c:v>Positive Review Percentage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'Most Reviewed Games'!$A$2:$A$26</c:f>
              <c:strCache>
                <c:ptCount val="25"/>
                <c:pt idx="0">
                  <c:v>Call of Duty®</c:v>
                </c:pt>
                <c:pt idx="1">
                  <c:v>PUBG: BATTLEGROUNDS</c:v>
                </c:pt>
                <c:pt idx="2">
                  <c:v>War Thunder</c:v>
                </c:pt>
                <c:pt idx="3">
                  <c:v>Apex Legends™</c:v>
                </c:pt>
                <c:pt idx="4">
                  <c:v>Dead by Daylight</c:v>
                </c:pt>
                <c:pt idx="5">
                  <c:v>Destiny 2</c:v>
                </c:pt>
                <c:pt idx="6">
                  <c:v>ARK: Survival Evolved</c:v>
                </c:pt>
                <c:pt idx="7">
                  <c:v>HELLDIVERS™ 2</c:v>
                </c:pt>
                <c:pt idx="8">
                  <c:v>Tom Clancy's Rainbow Six Siege</c:v>
                </c:pt>
                <c:pt idx="9">
                  <c:v>Grand Theft Auto V Legacy</c:v>
                </c:pt>
                <c:pt idx="10">
                  <c:v>Rust</c:v>
                </c:pt>
                <c:pt idx="11">
                  <c:v>Counter-Strike 2</c:v>
                </c:pt>
                <c:pt idx="12">
                  <c:v>Dota 2</c:v>
                </c:pt>
                <c:pt idx="13">
                  <c:v>Cyberpunk 2077</c:v>
                </c:pt>
                <c:pt idx="14">
                  <c:v>Team Fortress 2</c:v>
                </c:pt>
                <c:pt idx="15">
                  <c:v>Red Dead Redemption 2</c:v>
                </c:pt>
                <c:pt idx="16">
                  <c:v>Among Us</c:v>
                </c:pt>
                <c:pt idx="17">
                  <c:v>ELDEN RING</c:v>
                </c:pt>
                <c:pt idx="18">
                  <c:v>Phasmophobia</c:v>
                </c:pt>
                <c:pt idx="19">
                  <c:v>Baldur's Gate 3</c:v>
                </c:pt>
                <c:pt idx="20">
                  <c:v>Garry's Mod</c:v>
                </c:pt>
                <c:pt idx="21">
                  <c:v>Lethal Company</c:v>
                </c:pt>
                <c:pt idx="22">
                  <c:v>Left 4 Dead 2</c:v>
                </c:pt>
                <c:pt idx="23">
                  <c:v>Terraria</c:v>
                </c:pt>
                <c:pt idx="24">
                  <c:v>Stardew Valley</c:v>
                </c:pt>
              </c:strCache>
            </c:strRef>
          </c:cat>
          <c:val>
            <c:numRef>
              <c:f>'Most Reviewed Games'!$B$2:$B$26</c:f>
              <c:numCache>
                <c:formatCode>0.00</c:formatCode>
                <c:ptCount val="25"/>
                <c:pt idx="0">
                  <c:v>59.095672413611524</c:v>
                </c:pt>
                <c:pt idx="1">
                  <c:v>66.274276097432491</c:v>
                </c:pt>
                <c:pt idx="2">
                  <c:v>72.118814105664541</c:v>
                </c:pt>
                <c:pt idx="3">
                  <c:v>76.603941025796175</c:v>
                </c:pt>
                <c:pt idx="4">
                  <c:v>78.5583716754725</c:v>
                </c:pt>
                <c:pt idx="5">
                  <c:v>79.39260068766076</c:v>
                </c:pt>
                <c:pt idx="6">
                  <c:v>79.962848371902268</c:v>
                </c:pt>
                <c:pt idx="7">
                  <c:v>80.049122153036478</c:v>
                </c:pt>
                <c:pt idx="8">
                  <c:v>82.170860439116836</c:v>
                </c:pt>
                <c:pt idx="9">
                  <c:v>83.661666253409379</c:v>
                </c:pt>
                <c:pt idx="10">
                  <c:v>86.155633059022122</c:v>
                </c:pt>
                <c:pt idx="11">
                  <c:v>86.294331107840449</c:v>
                </c:pt>
                <c:pt idx="12">
                  <c:v>87.996701460575977</c:v>
                </c:pt>
                <c:pt idx="13">
                  <c:v>88.770164389645188</c:v>
                </c:pt>
                <c:pt idx="14">
                  <c:v>89.940096895708479</c:v>
                </c:pt>
                <c:pt idx="15">
                  <c:v>91.935915127189361</c:v>
                </c:pt>
                <c:pt idx="16">
                  <c:v>92.016190600327718</c:v>
                </c:pt>
                <c:pt idx="17">
                  <c:v>93.978064536609367</c:v>
                </c:pt>
                <c:pt idx="18">
                  <c:v>94.312273083870025</c:v>
                </c:pt>
                <c:pt idx="19">
                  <c:v>96.815667603548818</c:v>
                </c:pt>
                <c:pt idx="20">
                  <c:v>97.040834301073858</c:v>
                </c:pt>
                <c:pt idx="21">
                  <c:v>97.368298963093565</c:v>
                </c:pt>
                <c:pt idx="22">
                  <c:v>97.459865174786302</c:v>
                </c:pt>
                <c:pt idx="23">
                  <c:v>97.46253716362331</c:v>
                </c:pt>
                <c:pt idx="24">
                  <c:v>98.847883892659567</c:v>
                </c:pt>
              </c:numCache>
            </c:numRef>
          </c:val>
          <c:extLst>
            <c:ext xmlns:c16="http://schemas.microsoft.com/office/drawing/2014/chart" uri="{C3380CC4-5D6E-409C-BE32-E72D297353CC}">
              <c16:uniqueId val="{00000008-2C3E-4972-A834-C163B77030A6}"/>
            </c:ext>
          </c:extLst>
        </c:ser>
        <c:ser>
          <c:idx val="1"/>
          <c:order val="1"/>
          <c:tx>
            <c:strRef>
              <c:f>'Most Reviewed Games'!$C$1</c:f>
              <c:strCache>
                <c:ptCount val="1"/>
                <c:pt idx="0">
                  <c:v>Negative Review Percentage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'Most Reviewed Games'!$A$2:$A$26</c:f>
              <c:strCache>
                <c:ptCount val="25"/>
                <c:pt idx="0">
                  <c:v>Call of Duty®</c:v>
                </c:pt>
                <c:pt idx="1">
                  <c:v>PUBG: BATTLEGROUNDS</c:v>
                </c:pt>
                <c:pt idx="2">
                  <c:v>War Thunder</c:v>
                </c:pt>
                <c:pt idx="3">
                  <c:v>Apex Legends™</c:v>
                </c:pt>
                <c:pt idx="4">
                  <c:v>Dead by Daylight</c:v>
                </c:pt>
                <c:pt idx="5">
                  <c:v>Destiny 2</c:v>
                </c:pt>
                <c:pt idx="6">
                  <c:v>ARK: Survival Evolved</c:v>
                </c:pt>
                <c:pt idx="7">
                  <c:v>HELLDIVERS™ 2</c:v>
                </c:pt>
                <c:pt idx="8">
                  <c:v>Tom Clancy's Rainbow Six Siege</c:v>
                </c:pt>
                <c:pt idx="9">
                  <c:v>Grand Theft Auto V Legacy</c:v>
                </c:pt>
                <c:pt idx="10">
                  <c:v>Rust</c:v>
                </c:pt>
                <c:pt idx="11">
                  <c:v>Counter-Strike 2</c:v>
                </c:pt>
                <c:pt idx="12">
                  <c:v>Dota 2</c:v>
                </c:pt>
                <c:pt idx="13">
                  <c:v>Cyberpunk 2077</c:v>
                </c:pt>
                <c:pt idx="14">
                  <c:v>Team Fortress 2</c:v>
                </c:pt>
                <c:pt idx="15">
                  <c:v>Red Dead Redemption 2</c:v>
                </c:pt>
                <c:pt idx="16">
                  <c:v>Among Us</c:v>
                </c:pt>
                <c:pt idx="17">
                  <c:v>ELDEN RING</c:v>
                </c:pt>
                <c:pt idx="18">
                  <c:v>Phasmophobia</c:v>
                </c:pt>
                <c:pt idx="19">
                  <c:v>Baldur's Gate 3</c:v>
                </c:pt>
                <c:pt idx="20">
                  <c:v>Garry's Mod</c:v>
                </c:pt>
                <c:pt idx="21">
                  <c:v>Lethal Company</c:v>
                </c:pt>
                <c:pt idx="22">
                  <c:v>Left 4 Dead 2</c:v>
                </c:pt>
                <c:pt idx="23">
                  <c:v>Terraria</c:v>
                </c:pt>
                <c:pt idx="24">
                  <c:v>Stardew Valley</c:v>
                </c:pt>
              </c:strCache>
            </c:strRef>
          </c:cat>
          <c:val>
            <c:numRef>
              <c:f>'Most Reviewed Games'!$C$2:$C$26</c:f>
              <c:numCache>
                <c:formatCode>0.00</c:formatCode>
                <c:ptCount val="25"/>
                <c:pt idx="0">
                  <c:v>40.904327586388483</c:v>
                </c:pt>
                <c:pt idx="1">
                  <c:v>33.725723902567502</c:v>
                </c:pt>
                <c:pt idx="2">
                  <c:v>27.881185894335452</c:v>
                </c:pt>
                <c:pt idx="3">
                  <c:v>23.396058974203829</c:v>
                </c:pt>
                <c:pt idx="4">
                  <c:v>21.441628324527503</c:v>
                </c:pt>
                <c:pt idx="5">
                  <c:v>20.607399312339233</c:v>
                </c:pt>
                <c:pt idx="6">
                  <c:v>20.037151628097728</c:v>
                </c:pt>
                <c:pt idx="7">
                  <c:v>19.950877846963525</c:v>
                </c:pt>
                <c:pt idx="8">
                  <c:v>17.829139560883164</c:v>
                </c:pt>
                <c:pt idx="9">
                  <c:v>16.338333746590628</c:v>
                </c:pt>
                <c:pt idx="10">
                  <c:v>13.844366940977885</c:v>
                </c:pt>
                <c:pt idx="11">
                  <c:v>13.705668892159553</c:v>
                </c:pt>
                <c:pt idx="12">
                  <c:v>12.003298539424028</c:v>
                </c:pt>
                <c:pt idx="13">
                  <c:v>11.229835610354815</c:v>
                </c:pt>
                <c:pt idx="14">
                  <c:v>10.059903104291521</c:v>
                </c:pt>
                <c:pt idx="15">
                  <c:v>8.0640848728106445</c:v>
                </c:pt>
                <c:pt idx="16">
                  <c:v>7.9838093996722774</c:v>
                </c:pt>
                <c:pt idx="17">
                  <c:v>6.0219354633906317</c:v>
                </c:pt>
                <c:pt idx="18">
                  <c:v>5.6877269161299742</c:v>
                </c:pt>
                <c:pt idx="19">
                  <c:v>3.1843323964511838</c:v>
                </c:pt>
                <c:pt idx="20">
                  <c:v>2.9591656989261339</c:v>
                </c:pt>
                <c:pt idx="21">
                  <c:v>2.6317010369064464</c:v>
                </c:pt>
                <c:pt idx="22">
                  <c:v>2.5401348252137046</c:v>
                </c:pt>
                <c:pt idx="23">
                  <c:v>2.5374628363766929</c:v>
                </c:pt>
                <c:pt idx="24">
                  <c:v>1.15211610734044</c:v>
                </c:pt>
              </c:numCache>
            </c:numRef>
          </c:val>
          <c:extLst>
            <c:ext xmlns:c16="http://schemas.microsoft.com/office/drawing/2014/chart" uri="{C3380CC4-5D6E-409C-BE32-E72D297353CC}">
              <c16:uniqueId val="{00000009-2C3E-4972-A834-C163B77030A6}"/>
            </c:ext>
          </c:extLst>
        </c:ser>
        <c:dLbls>
          <c:showLegendKey val="0"/>
          <c:showVal val="0"/>
          <c:showCatName val="0"/>
          <c:showSerName val="0"/>
          <c:showPercent val="0"/>
          <c:showBubbleSize val="0"/>
        </c:dLbls>
        <c:gapWidth val="219"/>
        <c:axId val="537991184"/>
        <c:axId val="478701808"/>
      </c:barChart>
      <c:catAx>
        <c:axId val="537991184"/>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78701808"/>
        <c:crosses val="autoZero"/>
        <c:auto val="1"/>
        <c:lblAlgn val="ctr"/>
        <c:lblOffset val="100"/>
        <c:noMultiLvlLbl val="0"/>
      </c:catAx>
      <c:valAx>
        <c:axId val="478701808"/>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Review</a:t>
                </a:r>
                <a:r>
                  <a:rPr lang="en-US" baseline="0"/>
                  <a:t> Percentage</a:t>
                </a:r>
                <a:endParaRPr lang="en-US"/>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3799118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[steam_db_dashboard.xlsx]Game Price by Dev!PivotTable11</c:name>
    <c:fmtId val="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Game</a:t>
            </a:r>
            <a:r>
              <a:rPr lang="en-US" baseline="0"/>
              <a:t> Price by Developer (Top 25)</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'Game Price by Dev'!$B$1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'Game Price by Dev'!$A$2:$A$26</c:f>
              <c:strCache>
                <c:ptCount val="25"/>
                <c:pt idx="0">
                  <c:v>Avalanche Software</c:v>
                </c:pt>
                <c:pt idx="1">
                  <c:v>Game Science</c:v>
                </c:pt>
                <c:pt idx="2">
                  <c:v>BioWare</c:v>
                </c:pt>
                <c:pt idx="3">
                  <c:v>KOEI TECMO GAMES CO., LTD.</c:v>
                </c:pt>
                <c:pt idx="4">
                  <c:v>Arc System Works</c:v>
                </c:pt>
                <c:pt idx="5">
                  <c:v>LEVEL5 Inc.</c:v>
                </c:pt>
                <c:pt idx="6">
                  <c:v>Ubisoft Quebec</c:v>
                </c:pt>
                <c:pt idx="7">
                  <c:v>Playground Games</c:v>
                </c:pt>
                <c:pt idx="8">
                  <c:v>Media.Vision Inc.</c:v>
                </c:pt>
                <c:pt idx="9">
                  <c:v>Battlefield Studios</c:v>
                </c:pt>
                <c:pt idx="10">
                  <c:v>Visual Concepts</c:v>
                </c:pt>
                <c:pt idx="11">
                  <c:v>Respawn</c:v>
                </c:pt>
                <c:pt idx="12">
                  <c:v>Ghost Games</c:v>
                </c:pt>
                <c:pt idx="13">
                  <c:v>RGG Studio</c:v>
                </c:pt>
                <c:pt idx="14">
                  <c:v>Criterion Games</c:v>
                </c:pt>
                <c:pt idx="15">
                  <c:v>Sledgehammer Games</c:v>
                </c:pt>
                <c:pt idx="16">
                  <c:v>NeoBards Entertainment Ltd.</c:v>
                </c:pt>
                <c:pt idx="17">
                  <c:v>Sonic Team</c:v>
                </c:pt>
                <c:pt idx="18">
                  <c:v>Bloober Team SA</c:v>
                </c:pt>
                <c:pt idx="19">
                  <c:v>Tiburon</c:v>
                </c:pt>
                <c:pt idx="20">
                  <c:v>Game Studio Inc.</c:v>
                </c:pt>
                <c:pt idx="21">
                  <c:v>Ubisoft Ivory Tower</c:v>
                </c:pt>
                <c:pt idx="22">
                  <c:v>Expression Games</c:v>
                </c:pt>
                <c:pt idx="23">
                  <c:v>Bandai Namco Studios</c:v>
                </c:pt>
                <c:pt idx="24">
                  <c:v>EA Canada</c:v>
                </c:pt>
              </c:strCache>
            </c:strRef>
          </c:cat>
          <c:val>
            <c:numRef>
              <c:f>'Game Price by Dev'!$B$2:$B$26</c:f>
              <c:numCache>
                <c:formatCode>"$"#,##0.00</c:formatCode>
                <c:ptCount val="25"/>
                <c:pt idx="0">
                  <c:v>59.99</c:v>
                </c:pt>
                <c:pt idx="1">
                  <c:v>59.99</c:v>
                </c:pt>
                <c:pt idx="2">
                  <c:v>59.99</c:v>
                </c:pt>
                <c:pt idx="3">
                  <c:v>61.989999999999995</c:v>
                </c:pt>
                <c:pt idx="4">
                  <c:v>64.989999999999995</c:v>
                </c:pt>
                <c:pt idx="5">
                  <c:v>64.989999999999995</c:v>
                </c:pt>
                <c:pt idx="6">
                  <c:v>64.989999999999995</c:v>
                </c:pt>
                <c:pt idx="7">
                  <c:v>64.989999999999995</c:v>
                </c:pt>
                <c:pt idx="8">
                  <c:v>69.989999999999995</c:v>
                </c:pt>
                <c:pt idx="9">
                  <c:v>69.989999999999995</c:v>
                </c:pt>
                <c:pt idx="10">
                  <c:v>69.989999999999995</c:v>
                </c:pt>
                <c:pt idx="11">
                  <c:v>69.989999999999995</c:v>
                </c:pt>
                <c:pt idx="12">
                  <c:v>69.989999999999995</c:v>
                </c:pt>
                <c:pt idx="13">
                  <c:v>69.989999999999995</c:v>
                </c:pt>
                <c:pt idx="14">
                  <c:v>69.989999999999995</c:v>
                </c:pt>
                <c:pt idx="15">
                  <c:v>69.989999999999995</c:v>
                </c:pt>
                <c:pt idx="16">
                  <c:v>69.989999999999995</c:v>
                </c:pt>
                <c:pt idx="17">
                  <c:v>69.989999999999995</c:v>
                </c:pt>
                <c:pt idx="18">
                  <c:v>69.989999999999995</c:v>
                </c:pt>
                <c:pt idx="19">
                  <c:v>69.989999999999995</c:v>
                </c:pt>
                <c:pt idx="20">
                  <c:v>69.989999999999995</c:v>
                </c:pt>
                <c:pt idx="21">
                  <c:v>69.989999999999995</c:v>
                </c:pt>
                <c:pt idx="22">
                  <c:v>69.989999999999995</c:v>
                </c:pt>
                <c:pt idx="23">
                  <c:v>79.989999999999995</c:v>
                </c:pt>
                <c:pt idx="24">
                  <c:v>89.99</c:v>
                </c:pt>
              </c:numCache>
            </c:numRef>
          </c:val>
          <c:extLst>
            <c:ext xmlns:c16="http://schemas.microsoft.com/office/drawing/2014/chart" uri="{C3380CC4-5D6E-409C-BE32-E72D297353CC}">
              <c16:uniqueId val="{00000000-AA41-4D00-AB43-5AEF20764897}"/>
            </c:ext>
          </c:extLst>
        </c:ser>
        <c:dLbls>
          <c:showLegendKey val="0"/>
          <c:showVal val="0"/>
          <c:showCatName val="0"/>
          <c:showSerName val="0"/>
          <c:showPercent val="0"/>
          <c:showBubbleSize val="0"/>
        </c:dLbls>
        <c:gapWidth val="100"/>
        <c:axId val="655161856"/>
        <c:axId val="478729168"/>
      </c:barChart>
      <c:catAx>
        <c:axId val="655161856"/>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78729168"/>
        <c:crosses val="autoZero"/>
        <c:auto val="1"/>
        <c:lblAlgn val="ctr"/>
        <c:lblOffset val="100"/>
        <c:noMultiLvlLbl val="0"/>
      </c:catAx>
      <c:valAx>
        <c:axId val="478729168"/>
        <c:scaling>
          <c:orientation val="minMax"/>
          <c:min val="50"/>
        </c:scaling>
        <c:delete val="0"/>
        <c:axPos val="b"/>
        <c:majorGridlines>
          <c:spPr>
            <a:ln w="9525" cap="flat" cmpd="sng" algn="ctr">
              <a:solidFill>
                <a:schemeClr val="tx2">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Average</a:t>
                </a:r>
                <a:r>
                  <a:rPr lang="en-US" baseline="0"/>
                  <a:t> Game Price ($USD)</a:t>
                </a:r>
                <a:endParaRPr lang="en-US"/>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55161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1">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_rels/drawing8.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10</xdr:col>
      <xdr:colOff>447675</xdr:colOff>
      <xdr:row>13</xdr:row>
      <xdr:rowOff>85724</xdr:rowOff>
    </xdr:from>
    <xdr:to>
      <xdr:col>21</xdr:col>
      <xdr:colOff>171450</xdr:colOff>
      <xdr:row>42</xdr:row>
      <xdr:rowOff>133350</xdr:rowOff>
    </xdr:to>
    <xdr:graphicFrame macro="">
      <xdr:nvGraphicFramePr>
        <xdr:cNvPr id="3" name="Chart 2">
          <a:extLst>
            <a:ext uri="{FF2B5EF4-FFF2-40B4-BE49-F238E27FC236}">
              <a16:creationId xmlns:a16="http://schemas.microsoft.com/office/drawing/2014/main" id="{40C69275-626D-41F7-AA83-BFF368745D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21</xdr:col>
      <xdr:colOff>295275</xdr:colOff>
      <xdr:row>13</xdr:row>
      <xdr:rowOff>104775</xdr:rowOff>
    </xdr:from>
    <xdr:to>
      <xdr:col>28</xdr:col>
      <xdr:colOff>361950</xdr:colOff>
      <xdr:row>29</xdr:row>
      <xdr:rowOff>66675</xdr:rowOff>
    </xdr:to>
    <mc:AlternateContent xmlns:mc="http://schemas.openxmlformats.org/markup-compatibility/2006" xmlns:a14="http://schemas.microsoft.com/office/drawing/2010/main">
      <mc:Choice Requires="a14">
        <xdr:graphicFrame macro="">
          <xdr:nvGraphicFramePr>
            <xdr:cNvPr id="4" name="Game Genre">
              <a:extLst>
                <a:ext uri="{FF2B5EF4-FFF2-40B4-BE49-F238E27FC236}">
                  <a16:creationId xmlns:a16="http://schemas.microsoft.com/office/drawing/2014/main" id="{3CBADF74-AD31-40A6-929F-8561CD954698}"/>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Game Genre"/>
            </a:graphicData>
          </a:graphic>
        </xdr:graphicFrame>
      </mc:Choice>
      <mc:Fallback xmlns="">
        <xdr:sp macro="" textlink="">
          <xdr:nvSpPr>
            <xdr:cNvPr id="0" name=""/>
            <xdr:cNvSpPr>
              <a:spLocks noTextEdit="1"/>
            </xdr:cNvSpPr>
          </xdr:nvSpPr>
          <xdr:spPr>
            <a:xfrm>
              <a:off x="13096875" y="2847975"/>
              <a:ext cx="4333875" cy="3009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10</xdr:col>
      <xdr:colOff>457200</xdr:colOff>
      <xdr:row>5</xdr:row>
      <xdr:rowOff>133351</xdr:rowOff>
    </xdr:from>
    <xdr:to>
      <xdr:col>28</xdr:col>
      <xdr:colOff>342901</xdr:colOff>
      <xdr:row>12</xdr:row>
      <xdr:rowOff>171451</xdr:rowOff>
    </xdr:to>
    <mc:AlternateContent xmlns:mc="http://schemas.openxmlformats.org/markup-compatibility/2006">
      <mc:Choice xmlns:tsle="http://schemas.microsoft.com/office/drawing/2012/timeslicer" Requires="tsle">
        <xdr:graphicFrame macro="">
          <xdr:nvGraphicFramePr>
            <xdr:cNvPr id="5" name="Date 1">
              <a:extLst>
                <a:ext uri="{FF2B5EF4-FFF2-40B4-BE49-F238E27FC236}">
                  <a16:creationId xmlns:a16="http://schemas.microsoft.com/office/drawing/2014/main" id="{13F353D7-3AAF-4DCD-A138-A1E2ED020300}"/>
                </a:ext>
              </a:extLst>
            </xdr:cNvPr>
            <xdr:cNvGraphicFramePr>
              <a:graphicFrameLocks noChangeAspect="1"/>
            </xdr:cNvGraphicFramePr>
          </xdr:nvGraphicFramePr>
          <xdr:xfrm>
            <a:off x="0" y="0"/>
            <a:ext cx="0" cy="0"/>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6553200" y="1352551"/>
              <a:ext cx="10858501"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fLocksWithSheet="0"/>
  </xdr:twoCellAnchor>
  <xdr:twoCellAnchor editAs="absolute">
    <xdr:from>
      <xdr:col>21</xdr:col>
      <xdr:colOff>247650</xdr:colOff>
      <xdr:row>30</xdr:row>
      <xdr:rowOff>19049</xdr:rowOff>
    </xdr:from>
    <xdr:to>
      <xdr:col>28</xdr:col>
      <xdr:colOff>361949</xdr:colOff>
      <xdr:row>42</xdr:row>
      <xdr:rowOff>142874</xdr:rowOff>
    </xdr:to>
    <mc:AlternateContent xmlns:mc="http://schemas.openxmlformats.org/markup-compatibility/2006" xmlns:a14="http://schemas.microsoft.com/office/drawing/2010/main">
      <mc:Choice Requires="a14">
        <xdr:graphicFrame macro="">
          <xdr:nvGraphicFramePr>
            <xdr:cNvPr id="6" name="free_or_paid 2">
              <a:extLst>
                <a:ext uri="{FF2B5EF4-FFF2-40B4-BE49-F238E27FC236}">
                  <a16:creationId xmlns:a16="http://schemas.microsoft.com/office/drawing/2014/main" id="{A2A52089-6F84-4659-AD04-39260F062AFB}"/>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free_or_paid 2"/>
            </a:graphicData>
          </a:graphic>
        </xdr:graphicFrame>
      </mc:Choice>
      <mc:Fallback xmlns="">
        <xdr:sp macro="" textlink="">
          <xdr:nvSpPr>
            <xdr:cNvPr id="0" name=""/>
            <xdr:cNvSpPr>
              <a:spLocks noTextEdit="1"/>
            </xdr:cNvSpPr>
          </xdr:nvSpPr>
          <xdr:spPr>
            <a:xfrm>
              <a:off x="13049250" y="6000749"/>
              <a:ext cx="4381499" cy="24098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23</xdr:col>
      <xdr:colOff>352425</xdr:colOff>
      <xdr:row>43</xdr:row>
      <xdr:rowOff>85725</xdr:rowOff>
    </xdr:from>
    <xdr:to>
      <xdr:col>28</xdr:col>
      <xdr:colOff>333375</xdr:colOff>
      <xdr:row>50</xdr:row>
      <xdr:rowOff>133350</xdr:rowOff>
    </xdr:to>
    <xdr:sp macro="" textlink="">
      <xdr:nvSpPr>
        <xdr:cNvPr id="9" name="Rectangle 8">
          <a:extLst>
            <a:ext uri="{FF2B5EF4-FFF2-40B4-BE49-F238E27FC236}">
              <a16:creationId xmlns:a16="http://schemas.microsoft.com/office/drawing/2014/main" id="{9E87C14E-169D-4CA4-A0CC-B8A57C8A1B91}"/>
            </a:ext>
          </a:extLst>
        </xdr:cNvPr>
        <xdr:cNvSpPr/>
      </xdr:nvSpPr>
      <xdr:spPr>
        <a:xfrm>
          <a:off x="14373225" y="8543925"/>
          <a:ext cx="3028950" cy="1381125"/>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800" b="1">
              <a:solidFill>
                <a:schemeClr val="accent1">
                  <a:lumMod val="50000"/>
                </a:schemeClr>
              </a:solidFill>
            </a:rPr>
            <a:t>Average Player Count:</a:t>
          </a:r>
        </a:p>
        <a:p>
          <a:pPr algn="ctr"/>
          <a:endParaRPr lang="en-US" sz="1800" b="1">
            <a:solidFill>
              <a:schemeClr val="accent1">
                <a:lumMod val="50000"/>
              </a:schemeClr>
            </a:solidFill>
          </a:endParaRPr>
        </a:p>
        <a:p>
          <a:pPr algn="ctr"/>
          <a:endParaRPr lang="en-US" sz="1800" b="1"/>
        </a:p>
      </xdr:txBody>
    </xdr:sp>
    <xdr:clientData/>
  </xdr:twoCellAnchor>
  <xdr:twoCellAnchor>
    <xdr:from>
      <xdr:col>17</xdr:col>
      <xdr:colOff>95250</xdr:colOff>
      <xdr:row>43</xdr:row>
      <xdr:rowOff>85725</xdr:rowOff>
    </xdr:from>
    <xdr:to>
      <xdr:col>22</xdr:col>
      <xdr:colOff>76200</xdr:colOff>
      <xdr:row>50</xdr:row>
      <xdr:rowOff>133350</xdr:rowOff>
    </xdr:to>
    <xdr:sp macro="" textlink="">
      <xdr:nvSpPr>
        <xdr:cNvPr id="11" name="Rectangle 10">
          <a:extLst>
            <a:ext uri="{FF2B5EF4-FFF2-40B4-BE49-F238E27FC236}">
              <a16:creationId xmlns:a16="http://schemas.microsoft.com/office/drawing/2014/main" id="{996D46FB-875A-C773-987C-0F40CD97F7B5}"/>
            </a:ext>
          </a:extLst>
        </xdr:cNvPr>
        <xdr:cNvSpPr/>
      </xdr:nvSpPr>
      <xdr:spPr>
        <a:xfrm>
          <a:off x="10458450" y="8486775"/>
          <a:ext cx="3028950" cy="1381125"/>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800" b="1">
              <a:solidFill>
                <a:schemeClr val="accent1">
                  <a:lumMod val="50000"/>
                </a:schemeClr>
              </a:solidFill>
            </a:rPr>
            <a:t>Average Game Price:</a:t>
          </a:r>
        </a:p>
        <a:p>
          <a:pPr algn="ctr"/>
          <a:endParaRPr lang="en-US" sz="1800" b="1"/>
        </a:p>
        <a:p>
          <a:pPr algn="ctr"/>
          <a:endParaRPr lang="en-US" sz="1800" b="1"/>
        </a:p>
      </xdr:txBody>
    </xdr:sp>
    <xdr:clientData/>
  </xdr:twoCellAnchor>
  <xdr:twoCellAnchor>
    <xdr:from>
      <xdr:col>10</xdr:col>
      <xdr:colOff>476250</xdr:colOff>
      <xdr:row>43</xdr:row>
      <xdr:rowOff>85725</xdr:rowOff>
    </xdr:from>
    <xdr:to>
      <xdr:col>15</xdr:col>
      <xdr:colOff>457200</xdr:colOff>
      <xdr:row>50</xdr:row>
      <xdr:rowOff>133350</xdr:rowOff>
    </xdr:to>
    <xdr:sp macro="" textlink="">
      <xdr:nvSpPr>
        <xdr:cNvPr id="12" name="Rectangle 11">
          <a:extLst>
            <a:ext uri="{FF2B5EF4-FFF2-40B4-BE49-F238E27FC236}">
              <a16:creationId xmlns:a16="http://schemas.microsoft.com/office/drawing/2014/main" id="{BF6298E9-E7AB-457A-8897-057439F5AE24}"/>
            </a:ext>
          </a:extLst>
        </xdr:cNvPr>
        <xdr:cNvSpPr/>
      </xdr:nvSpPr>
      <xdr:spPr>
        <a:xfrm>
          <a:off x="6572250" y="8486775"/>
          <a:ext cx="3028950" cy="1381125"/>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800" b="1">
              <a:solidFill>
                <a:schemeClr val="accent1">
                  <a:lumMod val="50000"/>
                </a:schemeClr>
              </a:solidFill>
            </a:rPr>
            <a:t>Most</a:t>
          </a:r>
          <a:r>
            <a:rPr lang="en-US" sz="1800" b="1" baseline="0">
              <a:solidFill>
                <a:schemeClr val="accent1">
                  <a:lumMod val="50000"/>
                </a:schemeClr>
              </a:solidFill>
            </a:rPr>
            <a:t> Popular Game:</a:t>
          </a:r>
        </a:p>
        <a:p>
          <a:pPr algn="ctr"/>
          <a:endParaRPr lang="en-US" sz="1800" b="1" baseline="0">
            <a:solidFill>
              <a:schemeClr val="accent1">
                <a:lumMod val="50000"/>
              </a:schemeClr>
            </a:solidFill>
          </a:endParaRPr>
        </a:p>
        <a:p>
          <a:pPr algn="ctr"/>
          <a:endParaRPr lang="en-US" sz="1800" b="1" baseline="0"/>
        </a:p>
      </xdr:txBody>
    </xdr:sp>
    <xdr:clientData/>
  </xdr:twoCellAnchor>
  <xdr:oneCellAnchor>
    <xdr:from>
      <xdr:col>10</xdr:col>
      <xdr:colOff>561975</xdr:colOff>
      <xdr:row>46</xdr:row>
      <xdr:rowOff>180974</xdr:rowOff>
    </xdr:from>
    <xdr:ext cx="2867025" cy="619125"/>
    <xdr:sp macro="" textlink="db_data!B22">
      <xdr:nvSpPr>
        <xdr:cNvPr id="14" name="TextBox 13">
          <a:extLst>
            <a:ext uri="{FF2B5EF4-FFF2-40B4-BE49-F238E27FC236}">
              <a16:creationId xmlns:a16="http://schemas.microsoft.com/office/drawing/2014/main" id="{6971D0E9-0F05-8A9C-3645-10797C8DAE3B}"/>
            </a:ext>
          </a:extLst>
        </xdr:cNvPr>
        <xdr:cNvSpPr txBox="1"/>
      </xdr:nvSpPr>
      <xdr:spPr>
        <a:xfrm>
          <a:off x="6657975" y="9153524"/>
          <a:ext cx="2867025" cy="6191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B1BEA8AD-1BF2-49C9-AF87-3029DDCA800E}" type="TxLink">
            <a:rPr lang="en-US" sz="1800" b="1" i="0" u="none" strike="noStrike">
              <a:solidFill>
                <a:schemeClr val="accent1">
                  <a:lumMod val="50000"/>
                </a:schemeClr>
              </a:solidFill>
              <a:latin typeface="Aptos Narrow"/>
            </a:rPr>
            <a:pPr algn="ctr"/>
            <a:t>Baldur's Gate 3</a:t>
          </a:fld>
          <a:endParaRPr lang="en-US" sz="1800" b="1">
            <a:solidFill>
              <a:schemeClr val="accent1">
                <a:lumMod val="50000"/>
              </a:schemeClr>
            </a:solidFill>
          </a:endParaRPr>
        </a:p>
      </xdr:txBody>
    </xdr:sp>
    <xdr:clientData/>
  </xdr:oneCellAnchor>
  <xdr:oneCellAnchor>
    <xdr:from>
      <xdr:col>17</xdr:col>
      <xdr:colOff>152399</xdr:colOff>
      <xdr:row>46</xdr:row>
      <xdr:rowOff>76199</xdr:rowOff>
    </xdr:from>
    <xdr:ext cx="2924175" cy="638175"/>
    <xdr:sp macro="" textlink="db_data!B20">
      <xdr:nvSpPr>
        <xdr:cNvPr id="15" name="TextBox 14">
          <a:extLst>
            <a:ext uri="{FF2B5EF4-FFF2-40B4-BE49-F238E27FC236}">
              <a16:creationId xmlns:a16="http://schemas.microsoft.com/office/drawing/2014/main" id="{0B0F63E5-CEAD-08C7-6FE8-32775D047C10}"/>
            </a:ext>
          </a:extLst>
        </xdr:cNvPr>
        <xdr:cNvSpPr txBox="1"/>
      </xdr:nvSpPr>
      <xdr:spPr>
        <a:xfrm>
          <a:off x="10515599" y="9105899"/>
          <a:ext cx="2924175" cy="6381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CD1B13D9-4BB6-49EF-B6AA-A702BE03100F}" type="TxLink">
            <a:rPr lang="en-US" sz="3200" b="1" i="0" u="none" strike="noStrike">
              <a:solidFill>
                <a:schemeClr val="accent1">
                  <a:lumMod val="50000"/>
                </a:schemeClr>
              </a:solidFill>
              <a:latin typeface="Aptos Narrow"/>
            </a:rPr>
            <a:pPr algn="ctr"/>
            <a:t>$47.49</a:t>
          </a:fld>
          <a:endParaRPr lang="en-US" sz="3200" b="1">
            <a:solidFill>
              <a:schemeClr val="accent1">
                <a:lumMod val="50000"/>
              </a:schemeClr>
            </a:solidFill>
          </a:endParaRPr>
        </a:p>
      </xdr:txBody>
    </xdr:sp>
    <xdr:clientData/>
  </xdr:oneCellAnchor>
  <xdr:oneCellAnchor>
    <xdr:from>
      <xdr:col>23</xdr:col>
      <xdr:colOff>380999</xdr:colOff>
      <xdr:row>46</xdr:row>
      <xdr:rowOff>90488</xdr:rowOff>
    </xdr:from>
    <xdr:ext cx="2962276" cy="733425"/>
    <xdr:sp macro="" textlink="db_data!B24">
      <xdr:nvSpPr>
        <xdr:cNvPr id="16" name="TextBox 15">
          <a:extLst>
            <a:ext uri="{FF2B5EF4-FFF2-40B4-BE49-F238E27FC236}">
              <a16:creationId xmlns:a16="http://schemas.microsoft.com/office/drawing/2014/main" id="{03ABDEEA-DD13-2EC1-4B08-1CDE84F46BBD}"/>
            </a:ext>
          </a:extLst>
        </xdr:cNvPr>
        <xdr:cNvSpPr txBox="1"/>
      </xdr:nvSpPr>
      <xdr:spPr>
        <a:xfrm>
          <a:off x="14401799" y="9120188"/>
          <a:ext cx="2962276" cy="7334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3C3562AE-9EF3-4592-8244-EB0C0532BC30}" type="TxLink">
            <a:rPr lang="en-US" sz="3200" b="1" i="0" u="none" strike="noStrike">
              <a:solidFill>
                <a:schemeClr val="accent1">
                  <a:lumMod val="50000"/>
                </a:schemeClr>
              </a:solidFill>
              <a:latin typeface="Aptos Narrow"/>
            </a:rPr>
            <a:pPr algn="ctr"/>
            <a:t> 22,955 </a:t>
          </a:fld>
          <a:endParaRPr lang="en-US" sz="3200" b="1">
            <a:solidFill>
              <a:schemeClr val="accent1">
                <a:lumMod val="50000"/>
              </a:schemeClr>
            </a:solidFill>
          </a:endParaRP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2</xdr:col>
      <xdr:colOff>238125</xdr:colOff>
      <xdr:row>0</xdr:row>
      <xdr:rowOff>9525</xdr:rowOff>
    </xdr:from>
    <xdr:to>
      <xdr:col>15</xdr:col>
      <xdr:colOff>9525</xdr:colOff>
      <xdr:row>26</xdr:row>
      <xdr:rowOff>9525</xdr:rowOff>
    </xdr:to>
    <xdr:graphicFrame macro="">
      <xdr:nvGraphicFramePr>
        <xdr:cNvPr id="2" name="Chart 1">
          <a:extLst>
            <a:ext uri="{FF2B5EF4-FFF2-40B4-BE49-F238E27FC236}">
              <a16:creationId xmlns:a16="http://schemas.microsoft.com/office/drawing/2014/main" id="{9A120FB3-4D5A-0675-93CE-D60421C087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9525</xdr:colOff>
      <xdr:row>0</xdr:row>
      <xdr:rowOff>0</xdr:rowOff>
    </xdr:from>
    <xdr:to>
      <xdr:col>11</xdr:col>
      <xdr:colOff>161925</xdr:colOff>
      <xdr:row>16</xdr:row>
      <xdr:rowOff>0</xdr:rowOff>
    </xdr:to>
    <xdr:graphicFrame macro="">
      <xdr:nvGraphicFramePr>
        <xdr:cNvPr id="2" name="Chart 1">
          <a:extLst>
            <a:ext uri="{FF2B5EF4-FFF2-40B4-BE49-F238E27FC236}">
              <a16:creationId xmlns:a16="http://schemas.microsoft.com/office/drawing/2014/main" id="{0361CE9E-ECEC-140C-94DD-DC8F2E73E7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11</xdr:col>
      <xdr:colOff>581024</xdr:colOff>
      <xdr:row>0</xdr:row>
      <xdr:rowOff>0</xdr:rowOff>
    </xdr:from>
    <xdr:to>
      <xdr:col>15</xdr:col>
      <xdr:colOff>171449</xdr:colOff>
      <xdr:row>16</xdr:row>
      <xdr:rowOff>9524</xdr:rowOff>
    </xdr:to>
    <mc:AlternateContent xmlns:mc="http://schemas.openxmlformats.org/markup-compatibility/2006" xmlns:a14="http://schemas.microsoft.com/office/drawing/2010/main">
      <mc:Choice Requires="a14">
        <xdr:graphicFrame macro="">
          <xdr:nvGraphicFramePr>
            <xdr:cNvPr id="5" name="free_or_paid">
              <a:extLst>
                <a:ext uri="{FF2B5EF4-FFF2-40B4-BE49-F238E27FC236}">
                  <a16:creationId xmlns:a16="http://schemas.microsoft.com/office/drawing/2014/main" id="{3742121D-31A4-B9A6-1424-B05C828AEC4D}"/>
                </a:ext>
              </a:extLst>
            </xdr:cNvPr>
            <xdr:cNvGraphicFramePr>
              <a:graphicFrameLocks noChangeAspect="1" noMove="1" noResize="1"/>
            </xdr:cNvGraphicFramePr>
          </xdr:nvGraphicFramePr>
          <xdr:xfrm>
            <a:off x="0" y="0"/>
            <a:ext cx="0" cy="0"/>
          </xdr:xfrm>
          <a:graphic>
            <a:graphicData uri="http://schemas.microsoft.com/office/drawing/2010/slicer">
              <sle:slicer xmlns:sle="http://schemas.microsoft.com/office/drawing/2010/slicer" name="free_or_paid"/>
            </a:graphicData>
          </a:graphic>
        </xdr:graphicFrame>
      </mc:Choice>
      <mc:Fallback xmlns="">
        <xdr:sp macro="" textlink="">
          <xdr:nvSpPr>
            <xdr:cNvPr id="0" name=""/>
            <xdr:cNvSpPr>
              <a:spLocks noTextEdit="1"/>
            </xdr:cNvSpPr>
          </xdr:nvSpPr>
          <xdr:spPr>
            <a:xfrm>
              <a:off x="9915524" y="0"/>
              <a:ext cx="2028825" cy="30575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0</xdr:col>
      <xdr:colOff>0</xdr:colOff>
      <xdr:row>21</xdr:row>
      <xdr:rowOff>0</xdr:rowOff>
    </xdr:from>
    <xdr:to>
      <xdr:col>4</xdr:col>
      <xdr:colOff>428625</xdr:colOff>
      <xdr:row>35</xdr:row>
      <xdr:rowOff>76200</xdr:rowOff>
    </xdr:to>
    <xdr:graphicFrame macro="">
      <xdr:nvGraphicFramePr>
        <xdr:cNvPr id="3" name="Chart 2">
          <a:extLst>
            <a:ext uri="{FF2B5EF4-FFF2-40B4-BE49-F238E27FC236}">
              <a16:creationId xmlns:a16="http://schemas.microsoft.com/office/drawing/2014/main" id="{A5D8F719-4750-4E26-8C7A-9E860EEE87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9525</xdr:colOff>
      <xdr:row>0</xdr:row>
      <xdr:rowOff>9525</xdr:rowOff>
    </xdr:from>
    <xdr:to>
      <xdr:col>14</xdr:col>
      <xdr:colOff>238125</xdr:colOff>
      <xdr:row>18</xdr:row>
      <xdr:rowOff>190499</xdr:rowOff>
    </xdr:to>
    <xdr:graphicFrame macro="">
      <xdr:nvGraphicFramePr>
        <xdr:cNvPr id="2" name="Chart 1">
          <a:extLst>
            <a:ext uri="{FF2B5EF4-FFF2-40B4-BE49-F238E27FC236}">
              <a16:creationId xmlns:a16="http://schemas.microsoft.com/office/drawing/2014/main" id="{58BB3689-4293-E208-95EF-81334925D4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xdr:col>
      <xdr:colOff>838199</xdr:colOff>
      <xdr:row>19</xdr:row>
      <xdr:rowOff>123825</xdr:rowOff>
    </xdr:from>
    <xdr:to>
      <xdr:col>14</xdr:col>
      <xdr:colOff>219075</xdr:colOff>
      <xdr:row>26</xdr:row>
      <xdr:rowOff>161925</xdr:rowOff>
    </xdr:to>
    <mc:AlternateContent xmlns:mc="http://schemas.openxmlformats.org/markup-compatibility/2006" xmlns:tsle="http://schemas.microsoft.com/office/drawing/2012/timeslicer">
      <mc:Choice Requires="tsle">
        <xdr:graphicFrame macro="">
          <xdr:nvGraphicFramePr>
            <xdr:cNvPr id="6" name="releasedate">
              <a:extLst>
                <a:ext uri="{FF2B5EF4-FFF2-40B4-BE49-F238E27FC236}">
                  <a16:creationId xmlns:a16="http://schemas.microsoft.com/office/drawing/2014/main" id="{0C14C39D-7AC7-73C0-892B-236314C79724}"/>
                </a:ext>
              </a:extLst>
            </xdr:cNvPr>
            <xdr:cNvGraphicFramePr>
              <a:graphicFrameLocks noChangeAspect="1"/>
            </xdr:cNvGraphicFramePr>
          </xdr:nvGraphicFramePr>
          <xdr:xfrm>
            <a:off x="0" y="0"/>
            <a:ext cx="0" cy="0"/>
          </xdr:xfrm>
          <a:graphic>
            <a:graphicData uri="http://schemas.microsoft.com/office/drawing/2012/timeslicer">
              <tsle:timeslicer name="releasedate"/>
            </a:graphicData>
          </a:graphic>
        </xdr:graphicFrame>
      </mc:Choice>
      <mc:Fallback xmlns="">
        <xdr:sp macro="" textlink="">
          <xdr:nvSpPr>
            <xdr:cNvPr id="0" name=""/>
            <xdr:cNvSpPr>
              <a:spLocks noTextEdit="1"/>
            </xdr:cNvSpPr>
          </xdr:nvSpPr>
          <xdr:spPr>
            <a:xfrm>
              <a:off x="1790699" y="3743325"/>
              <a:ext cx="6962776"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fLocksWithSheet="0"/>
  </xdr:twoCellAnchor>
</xdr:wsDr>
</file>

<file path=xl/drawings/drawing5.xml><?xml version="1.0" encoding="utf-8"?>
<xdr:wsDr xmlns:xdr="http://schemas.openxmlformats.org/drawingml/2006/spreadsheetDrawing" xmlns:a="http://schemas.openxmlformats.org/drawingml/2006/main">
  <xdr:twoCellAnchor>
    <xdr:from>
      <xdr:col>3</xdr:col>
      <xdr:colOff>85724</xdr:colOff>
      <xdr:row>0</xdr:row>
      <xdr:rowOff>0</xdr:rowOff>
    </xdr:from>
    <xdr:to>
      <xdr:col>16</xdr:col>
      <xdr:colOff>609599</xdr:colOff>
      <xdr:row>24</xdr:row>
      <xdr:rowOff>180975</xdr:rowOff>
    </xdr:to>
    <xdr:graphicFrame macro="">
      <xdr:nvGraphicFramePr>
        <xdr:cNvPr id="2" name="Chart 1">
          <a:extLst>
            <a:ext uri="{FF2B5EF4-FFF2-40B4-BE49-F238E27FC236}">
              <a16:creationId xmlns:a16="http://schemas.microsoft.com/office/drawing/2014/main" id="{C7B2404A-4BE1-DA09-78C2-54553F7621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200024</xdr:colOff>
      <xdr:row>4</xdr:row>
      <xdr:rowOff>76200</xdr:rowOff>
    </xdr:from>
    <xdr:to>
      <xdr:col>18</xdr:col>
      <xdr:colOff>123825</xdr:colOff>
      <xdr:row>26</xdr:row>
      <xdr:rowOff>161925</xdr:rowOff>
    </xdr:to>
    <xdr:graphicFrame macro="">
      <xdr:nvGraphicFramePr>
        <xdr:cNvPr id="2" name="Chart 1">
          <a:extLst>
            <a:ext uri="{FF2B5EF4-FFF2-40B4-BE49-F238E27FC236}">
              <a16:creationId xmlns:a16="http://schemas.microsoft.com/office/drawing/2014/main" id="{82292574-3F8E-3E0D-5596-034DBEB0DB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114299</xdr:colOff>
      <xdr:row>0</xdr:row>
      <xdr:rowOff>76200</xdr:rowOff>
    </xdr:from>
    <xdr:to>
      <xdr:col>18</xdr:col>
      <xdr:colOff>238125</xdr:colOff>
      <xdr:row>26</xdr:row>
      <xdr:rowOff>28575</xdr:rowOff>
    </xdr:to>
    <xdr:graphicFrame macro="">
      <xdr:nvGraphicFramePr>
        <xdr:cNvPr id="3" name="Chart 2">
          <a:extLst>
            <a:ext uri="{FF2B5EF4-FFF2-40B4-BE49-F238E27FC236}">
              <a16:creationId xmlns:a16="http://schemas.microsoft.com/office/drawing/2014/main" id="{9232CAD2-FAB0-F982-10F1-ED6A3DD4B1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18</xdr:col>
      <xdr:colOff>428625</xdr:colOff>
      <xdr:row>0</xdr:row>
      <xdr:rowOff>104775</xdr:rowOff>
    </xdr:from>
    <xdr:to>
      <xdr:col>22</xdr:col>
      <xdr:colOff>581025</xdr:colOff>
      <xdr:row>26</xdr:row>
      <xdr:rowOff>47625</xdr:rowOff>
    </xdr:to>
    <mc:AlternateContent xmlns:mc="http://schemas.openxmlformats.org/markup-compatibility/2006" xmlns:a14="http://schemas.microsoft.com/office/drawing/2010/main">
      <mc:Choice Requires="a14">
        <xdr:graphicFrame macro="">
          <xdr:nvGraphicFramePr>
            <xdr:cNvPr id="4" name="free_or_paid 1">
              <a:extLst>
                <a:ext uri="{FF2B5EF4-FFF2-40B4-BE49-F238E27FC236}">
                  <a16:creationId xmlns:a16="http://schemas.microsoft.com/office/drawing/2014/main" id="{AC87FC09-6D53-47ED-5978-1AD62D728400}"/>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free_or_paid 1"/>
            </a:graphicData>
          </a:graphic>
        </xdr:graphicFrame>
      </mc:Choice>
      <mc:Fallback xmlns="">
        <xdr:sp macro="" textlink="">
          <xdr:nvSpPr>
            <xdr:cNvPr id="0" name=""/>
            <xdr:cNvSpPr>
              <a:spLocks noTextEdit="1"/>
            </xdr:cNvSpPr>
          </xdr:nvSpPr>
          <xdr:spPr>
            <a:xfrm>
              <a:off x="16182975" y="104775"/>
              <a:ext cx="2590800" cy="4895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2</xdr:col>
      <xdr:colOff>1571625</xdr:colOff>
      <xdr:row>27</xdr:row>
      <xdr:rowOff>19050</xdr:rowOff>
    </xdr:from>
    <xdr:to>
      <xdr:col>22</xdr:col>
      <xdr:colOff>552449</xdr:colOff>
      <xdr:row>34</xdr:row>
      <xdr:rowOff>57150</xdr:rowOff>
    </xdr:to>
    <mc:AlternateContent xmlns:mc="http://schemas.openxmlformats.org/markup-compatibility/2006" xmlns:tsle="http://schemas.microsoft.com/office/drawing/2012/timeslicer">
      <mc:Choice Requires="tsle">
        <xdr:graphicFrame macro="">
          <xdr:nvGraphicFramePr>
            <xdr:cNvPr id="5" name="Release Timeline">
              <a:extLst>
                <a:ext uri="{FF2B5EF4-FFF2-40B4-BE49-F238E27FC236}">
                  <a16:creationId xmlns:a16="http://schemas.microsoft.com/office/drawing/2014/main" id="{30242643-7E7F-3F98-4528-9679D6F38B37}"/>
                </a:ext>
              </a:extLst>
            </xdr:cNvPr>
            <xdr:cNvGraphicFramePr/>
          </xdr:nvGraphicFramePr>
          <xdr:xfrm>
            <a:off x="0" y="0"/>
            <a:ext cx="0" cy="0"/>
          </xdr:xfrm>
          <a:graphic>
            <a:graphicData uri="http://schemas.microsoft.com/office/drawing/2012/timeslicer">
              <tsle:timeslicer name="Release Timeline"/>
            </a:graphicData>
          </a:graphic>
        </xdr:graphicFrame>
      </mc:Choice>
      <mc:Fallback xmlns="">
        <xdr:sp macro="" textlink="">
          <xdr:nvSpPr>
            <xdr:cNvPr id="0" name=""/>
            <xdr:cNvSpPr>
              <a:spLocks noTextEdit="1"/>
            </xdr:cNvSpPr>
          </xdr:nvSpPr>
          <xdr:spPr>
            <a:xfrm>
              <a:off x="5276850" y="5162550"/>
              <a:ext cx="13468349"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fLocksWithSheet="0"/>
  </xdr:twoCellAnchor>
</xdr:wsDr>
</file>

<file path=xl/drawings/drawing8.xml><?xml version="1.0" encoding="utf-8"?>
<xdr:wsDr xmlns:xdr="http://schemas.openxmlformats.org/drawingml/2006/spreadsheetDrawing" xmlns:a="http://schemas.openxmlformats.org/drawingml/2006/main">
  <xdr:twoCellAnchor>
    <xdr:from>
      <xdr:col>2</xdr:col>
      <xdr:colOff>285750</xdr:colOff>
      <xdr:row>0</xdr:row>
      <xdr:rowOff>9525</xdr:rowOff>
    </xdr:from>
    <xdr:to>
      <xdr:col>10</xdr:col>
      <xdr:colOff>409575</xdr:colOff>
      <xdr:row>25</xdr:row>
      <xdr:rowOff>180975</xdr:rowOff>
    </xdr:to>
    <xdr:graphicFrame macro="">
      <xdr:nvGraphicFramePr>
        <xdr:cNvPr id="3" name="Chart 2">
          <a:extLst>
            <a:ext uri="{FF2B5EF4-FFF2-40B4-BE49-F238E27FC236}">
              <a16:creationId xmlns:a16="http://schemas.microsoft.com/office/drawing/2014/main" id="{B0C369E5-D9F0-7EE4-51B0-6E05C2D34C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ngston Stewart" refreshedDate="46265.98993275463" backgroundQuery="1" createdVersion="8" refreshedVersion="8" minRefreshableVersion="3" recordCount="0" supportSubquery="1" supportAdvancedDrill="1" xr:uid="{BEC5EA2F-979C-4FF8-A5D6-C0BC561233BC}">
  <cacheSource type="external" connectionId="4"/>
  <cacheFields count="2">
    <cacheField name="[steam_app_database].[name].[name]" caption="name" numFmtId="0" hierarchy="9" level="1">
      <sharedItems count="25">
        <s v="Apex Legends™"/>
        <s v="Baldur's Gate 3"/>
        <s v="Bongo Cat"/>
        <s v="Counter-Strike 2"/>
        <s v="Dead by Daylight"/>
        <s v="Delta Force"/>
        <s v="Dota 2"/>
        <s v="EA SPORTS FC™ 26"/>
        <s v="FiveM"/>
        <s v="Geometry Dash"/>
        <s v="Grand Theft Auto V Enhanced"/>
        <s v="Grand Theft Auto V Legacy"/>
        <s v="Marvel Rivals"/>
        <s v="Palworld"/>
        <s v="PUBG: BATTLEGROUNDS"/>
        <s v="Rust"/>
        <s v="Slay the Spire 2"/>
        <s v="Stardew Valley"/>
        <s v="TBH: Task Bar Hero"/>
        <s v="Team Fortress 2"/>
        <s v="The Binding of Isaac: Rebirth"/>
        <s v="Tom Clancy's Rainbow Six Siege"/>
        <s v="Wallpaper Engine"/>
        <s v="War Thunder"/>
        <s v="Warframe"/>
      </sharedItems>
    </cacheField>
    <cacheField name="[Measures].[Sum of player_count]" caption="Sum of player_count" numFmtId="0" hierarchy="34" level="32767"/>
  </cacheFields>
  <cacheHierarchies count="45">
    <cacheHierarchy uniqueName="[release_calendar].[Date]" caption="Date" attribute="1" time="1" keyAttribute="1" defaultMemberUniqueName="[release_calendar].[Date].[All]" allUniqueName="[release_calendar].[Date].[All]" dimensionUniqueName="[release_calendar]" displayFolder="" count="0" memberValueDatatype="7" unbalanced="0"/>
    <cacheHierarchy uniqueName="[release_calendar].[Date Hierarchy]" caption="Date Hierarchy" time="1" defaultMemberUniqueName="[release_calendar].[Date Hierarchy].[All]" allUniqueName="[release_calendar].[Date Hierarchy].[All]" dimensionUniqueName="[release_calendar]" displayFolder="" count="0" unbalanced="0"/>
    <cacheHierarchy uniqueName="[release_calendar].[Year]" caption="Year" attribute="1" time="1" defaultMemberUniqueName="[release_calendar].[Year].[All]" allUniqueName="[release_calendar].[Year].[All]" dimensionUniqueName="[release_calendar]" displayFolder="" count="0" memberValueDatatype="20" unbalanced="0"/>
    <cacheHierarchy uniqueName="[release_calendar].[Month Number]" caption="Month Number" attribute="1" time="1" defaultMemberUniqueName="[release_calendar].[Month Number].[All]" allUniqueName="[release_calendar].[Month Number].[All]" dimensionUniqueName="[release_calendar]" displayFolder="" count="0" memberValueDatatype="20" unbalanced="0"/>
    <cacheHierarchy uniqueName="[release_calendar].[Month]" caption="Month" attribute="1" time="1" defaultMemberUniqueName="[release_calendar].[Month].[All]" allUniqueName="[release_calendar].[Month].[All]" dimensionUniqueName="[release_calendar]" displayFolder="" count="0" memberValueDatatype="130" unbalanced="0"/>
    <cacheHierarchy uniqueName="[release_calendar].[MMM-YYYY]" caption="MMM-YYYY" attribute="1" time="1" defaultMemberUniqueName="[release_calendar].[MMM-YYYY].[All]" allUniqueName="[release_calendar].[MMM-YYYY].[All]" dimensionUniqueName="[release_calendar]" displayFolder="" count="0" memberValueDatatype="130" unbalanced="0"/>
    <cacheHierarchy uniqueName="[release_calendar].[Day Of Week Number]" caption="Day Of Week Number" attribute="1" time="1" defaultMemberUniqueName="[release_calendar].[Day Of Week Number].[All]" allUniqueName="[release_calendar].[Day Of Week Number].[All]" dimensionUniqueName="[release_calendar]" displayFolder="" count="0" memberValueDatatype="20" unbalanced="0"/>
    <cacheHierarchy uniqueName="[release_calendar].[Day Of Week]" caption="Day Of Week" attribute="1" time="1" defaultMemberUniqueName="[release_calendar].[Day Of Week].[All]" allUniqueName="[release_calendar].[Day Of Week].[All]" dimensionUniqueName="[release_calendar]" displayFolder="" count="0" memberValueDatatype="130" unbalanced="0"/>
    <cacheHierarchy uniqueName="[steam_app_database].[appid]" caption="appid" attribute="1" defaultMemberUniqueName="[steam_app_database].[appid].[All]" allUniqueName="[steam_app_database].[appid].[All]" dimensionUniqueName="[steam_app_database]" displayFolder="" count="0" memberValueDatatype="130" unbalanced="0"/>
    <cacheHierarchy uniqueName="[steam_app_database].[name]" caption="name" attribute="1" defaultMemberUniqueName="[steam_app_database].[name].[All]" allUniqueName="[steam_app_database].[name].[All]" dimensionUniqueName="[steam_app_database]" displayFolder="" count="2" memberValueDatatype="130" unbalanced="0">
      <fieldsUsage count="2">
        <fieldUsage x="-1"/>
        <fieldUsage x="0"/>
      </fieldsUsage>
    </cacheHierarchy>
    <cacheHierarchy uniqueName="[steam_app_database].[releasedate]" caption="releasedate" attribute="1" time="1" defaultMemberUniqueName="[steam_app_database].[releasedate].[All]" allUniqueName="[steam_app_database].[releasedate].[All]" dimensionUniqueName="[steam_app_database]" displayFolder="" count="0" memberValueDatatype="7" unbalanced="0"/>
    <cacheHierarchy uniqueName="[steam_app_database].[is_free]" caption="is_free" attribute="1" defaultMemberUniqueName="[steam_app_database].[is_free].[All]" allUniqueName="[steam_app_database].[is_free].[All]" dimensionUniqueName="[steam_app_database]" displayFolder="" count="0" memberValueDatatype="130" unbalanced="0"/>
    <cacheHierarchy uniqueName="[steam_app_database].[price_usd]" caption="price_usd" attribute="1" defaultMemberUniqueName="[steam_app_database].[price_usd].[All]" allUniqueName="[steam_app_database].[price_usd].[All]" dimensionUniqueName="[steam_app_database]" displayFolder="" count="0" memberValueDatatype="5" unbalanced="0"/>
    <cacheHierarchy uniqueName="[steam_app_database].[genre]" caption="genre" attribute="1" defaultMemberUniqueName="[steam_app_database].[genre].[All]" allUniqueName="[steam_app_database].[genre].[All]" dimensionUniqueName="[steam_app_database]" displayFolder="" count="0" memberValueDatatype="130" unbalanced="0"/>
    <cacheHierarchy uniqueName="[steam_app_database].[achievement_count]" caption="achievement_count" attribute="1" defaultMemberUniqueName="[steam_app_database].[achievement_count].[All]" allUniqueName="[steam_app_database].[achievement_count].[All]" dimensionUniqueName="[steam_app_database]" displayFolder="" count="0" memberValueDatatype="20" unbalanced="0"/>
    <cacheHierarchy uniqueName="[steam_app_database].[developer]" caption="developer" attribute="1" defaultMemberUniqueName="[steam_app_database].[developer].[All]" allUniqueName="[steam_app_database].[developer].[All]" dimensionUniqueName="[steam_app_database]" displayFolder="" count="0" memberValueDatatype="130" unbalanced="0"/>
    <cacheHierarchy uniqueName="[steam_app_database].[publisher]" caption="publisher" attribute="1" defaultMemberUniqueName="[steam_app_database].[publisher].[All]" allUniqueName="[steam_app_database].[publisher].[All]" dimensionUniqueName="[steam_app_database]" displayFolder="" count="0" memberValueDatatype="130" unbalanced="0"/>
    <cacheHierarchy uniqueName="[steam_app_database].[player_count]" caption="player_count" attribute="1" defaultMemberUniqueName="[steam_app_database].[player_count].[All]" allUniqueName="[steam_app_database].[player_count].[All]" dimensionUniqueName="[steam_app_database]" displayFolder="" count="0" memberValueDatatype="20" unbalanced="0"/>
    <cacheHierarchy uniqueName="[steam_app_database].[review_score]" caption="review_score" attribute="1" defaultMemberUniqueName="[steam_app_database].[review_score].[All]" allUniqueName="[steam_app_database].[review_score].[All]" dimensionUniqueName="[steam_app_database]" displayFolder="" count="0" memberValueDatatype="20" unbalanced="0"/>
    <cacheHierarchy uniqueName="[steam_app_database].[review_score_desc]" caption="review_score_desc" attribute="1" defaultMemberUniqueName="[steam_app_database].[review_score_desc].[All]" allUniqueName="[steam_app_database].[review_score_desc].[All]" dimensionUniqueName="[steam_app_database]" displayFolder="" count="0" memberValueDatatype="130" unbalanced="0"/>
    <cacheHierarchy uniqueName="[steam_app_database].[total_positive]" caption="total_positive" attribute="1" defaultMemberUniqueName="[steam_app_database].[total_positive].[All]" allUniqueName="[steam_app_database].[total_positive].[All]" dimensionUniqueName="[steam_app_database]" displayFolder="" count="0" memberValueDatatype="20" unbalanced="0"/>
    <cacheHierarchy uniqueName="[steam_app_database].[total_negative]" caption="total_negative" attribute="1" defaultMemberUniqueName="[steam_app_database].[total_negative].[All]" allUniqueName="[steam_app_database].[total_negative].[All]" dimensionUniqueName="[steam_app_database]" displayFolder="" count="0" memberValueDatatype="20" unbalanced="0"/>
    <cacheHierarchy uniqueName="[steam_app_database].[total_reviews]" caption="total_reviews" attribute="1" defaultMemberUniqueName="[steam_app_database].[total_reviews].[All]" allUniqueName="[steam_app_database].[total_reviews].[All]" dimensionUniqueName="[steam_app_database]" displayFolder="" count="0" memberValueDatatype="20" unbalanced="0"/>
    <cacheHierarchy uniqueName="[steam_app_database].[free_or_paid]" caption="free_or_paid" attribute="1" defaultMemberUniqueName="[steam_app_database].[free_or_paid].[All]" allUniqueName="[steam_app_database].[free_or_paid].[All]" dimensionUniqueName="[steam_app_database]" displayFolder="" count="0" memberValueDatatype="130" unbalanced="0"/>
    <cacheHierarchy uniqueName="[Measures].[Player Count]" caption="Player Count" measure="1" displayFolder="" measureGroup="steam_app_database" count="0"/>
    <cacheHierarchy uniqueName="[Measures].[Game Count]" caption="Game Count" measure="1" displayFolder="" measureGroup="steam_app_database" count="0"/>
    <cacheHierarchy uniqueName="[Measures].[Average Game Price]" caption="Average Game Price" measure="1" displayFolder="" measureGroup="steam_app_database" count="0"/>
    <cacheHierarchy uniqueName="[Measures].[Positive Review Percentage]" caption="Positive Review Percentage" measure="1" displayFolder="" measureGroup="steam_app_database" count="0"/>
    <cacheHierarchy uniqueName="[Measures].[Negative Review Percentage]" caption="Negative Review Percentage" measure="1" displayFolder="" measureGroup="steam_app_database" count="0"/>
    <cacheHierarchy uniqueName="[Measures].[__XL_Count steam_app_database]" caption="__XL_Count steam_app_database" measure="1" displayFolder="" measureGroup="steam_app_database" count="0" hidden="1"/>
    <cacheHierarchy uniqueName="[Measures].[__XL_Count Calendar]" caption="__XL_Count Calendar" measure="1" displayFolder="" measureGroup="release_calendar" count="0" hidden="1"/>
    <cacheHierarchy uniqueName="[Measures].[__No measures defined]" caption="__No measures defined" measure="1" displayFolder="" count="0" hidden="1"/>
    <cacheHierarchy uniqueName="[Measures].[Count of player_count]" caption="Count of player_count" measure="1" displayFolder="" measureGroup="steam_app_database" count="0" hidden="1">
      <extLst>
        <ext xmlns:x15="http://schemas.microsoft.com/office/spreadsheetml/2010/11/main" uri="{B97F6D7D-B522-45F9-BDA1-12C45D357490}">
          <x15:cacheHierarchy aggregatedColumn="17"/>
        </ext>
      </extLst>
    </cacheHierarchy>
    <cacheHierarchy uniqueName="[Measures].[Count of name]" caption="Count of name" measure="1" displayFolder="" measureGroup="steam_app_database" count="0" hidden="1">
      <extLst>
        <ext xmlns:x15="http://schemas.microsoft.com/office/spreadsheetml/2010/11/main" uri="{B97F6D7D-B522-45F9-BDA1-12C45D357490}">
          <x15:cacheHierarchy aggregatedColumn="9"/>
        </ext>
      </extLst>
    </cacheHierarchy>
    <cacheHierarchy uniqueName="[Measures].[Sum of player_count]" caption="Sum of player_count" measure="1" displayFolder="" measureGroup="steam_app_database"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Year]" caption="Sum of Year" measure="1" displayFolder="" measureGroup="release_calendar" count="0" hidden="1">
      <extLst>
        <ext xmlns:x15="http://schemas.microsoft.com/office/spreadsheetml/2010/11/main" uri="{B97F6D7D-B522-45F9-BDA1-12C45D357490}">
          <x15:cacheHierarchy aggregatedColumn="2"/>
        </ext>
      </extLst>
    </cacheHierarchy>
    <cacheHierarchy uniqueName="[Measures].[Count of appid]" caption="Count of appid" measure="1" displayFolder="" measureGroup="steam_app_database" count="0" hidden="1">
      <extLst>
        <ext xmlns:x15="http://schemas.microsoft.com/office/spreadsheetml/2010/11/main" uri="{B97F6D7D-B522-45F9-BDA1-12C45D357490}">
          <x15:cacheHierarchy aggregatedColumn="8"/>
        </ext>
      </extLst>
    </cacheHierarchy>
    <cacheHierarchy uniqueName="[Measures].[Sum of price_usd]" caption="Sum of price_usd" measure="1" displayFolder="" measureGroup="steam_app_database" count="0" hidden="1">
      <extLst>
        <ext xmlns:x15="http://schemas.microsoft.com/office/spreadsheetml/2010/11/main" uri="{B97F6D7D-B522-45F9-BDA1-12C45D357490}">
          <x15:cacheHierarchy aggregatedColumn="12"/>
        </ext>
      </extLst>
    </cacheHierarchy>
    <cacheHierarchy uniqueName="[Measures].[Average of price_usd]" caption="Average of price_usd" measure="1" displayFolder="" measureGroup="steam_app_database" count="0" hidden="1">
      <extLst>
        <ext xmlns:x15="http://schemas.microsoft.com/office/spreadsheetml/2010/11/main" uri="{B97F6D7D-B522-45F9-BDA1-12C45D357490}">
          <x15:cacheHierarchy aggregatedColumn="12"/>
        </ext>
      </extLst>
    </cacheHierarchy>
    <cacheHierarchy uniqueName="[Measures].[Sum of review_score]" caption="Sum of review_score" measure="1" displayFolder="" measureGroup="steam_app_database" count="0" hidden="1">
      <extLst>
        <ext xmlns:x15="http://schemas.microsoft.com/office/spreadsheetml/2010/11/main" uri="{B97F6D7D-B522-45F9-BDA1-12C45D357490}">
          <x15:cacheHierarchy aggregatedColumn="18"/>
        </ext>
      </extLst>
    </cacheHierarchy>
    <cacheHierarchy uniqueName="[Measures].[Sum of total_positive]" caption="Sum of total_positive" measure="1" displayFolder="" measureGroup="steam_app_database" count="0" hidden="1">
      <extLst>
        <ext xmlns:x15="http://schemas.microsoft.com/office/spreadsheetml/2010/11/main" uri="{B97F6D7D-B522-45F9-BDA1-12C45D357490}">
          <x15:cacheHierarchy aggregatedColumn="20"/>
        </ext>
      </extLst>
    </cacheHierarchy>
    <cacheHierarchy uniqueName="[Measures].[Sum of total_reviews]" caption="Sum of total_reviews" measure="1" displayFolder="" measureGroup="steam_app_database" count="0" hidden="1">
      <extLst>
        <ext xmlns:x15="http://schemas.microsoft.com/office/spreadsheetml/2010/11/main" uri="{B97F6D7D-B522-45F9-BDA1-12C45D357490}">
          <x15:cacheHierarchy aggregatedColumn="22"/>
        </ext>
      </extLst>
    </cacheHierarchy>
    <cacheHierarchy uniqueName="[Measures].[Sum of total_negative]" caption="Sum of total_negative" measure="1" displayFolder="" measureGroup="steam_app_database" count="0" hidden="1">
      <extLst>
        <ext xmlns:x15="http://schemas.microsoft.com/office/spreadsheetml/2010/11/main" uri="{B97F6D7D-B522-45F9-BDA1-12C45D357490}">
          <x15:cacheHierarchy aggregatedColumn="21"/>
        </ext>
      </extLst>
    </cacheHierarchy>
    <cacheHierarchy uniqueName="[Measures].[Average of player_count]" caption="Average of player_count" measure="1" displayFolder="" measureGroup="steam_app_database" count="0" hidden="1">
      <extLst>
        <ext xmlns:x15="http://schemas.microsoft.com/office/spreadsheetml/2010/11/main" uri="{B97F6D7D-B522-45F9-BDA1-12C45D357490}">
          <x15:cacheHierarchy aggregatedColumn="17"/>
        </ext>
      </extLst>
    </cacheHierarchy>
    <cacheHierarchy uniqueName="[Measures].[Count of genre]" caption="Count of genre" measure="1" displayFolder="" measureGroup="steam_app_database" count="0" hidden="1">
      <extLst>
        <ext xmlns:x15="http://schemas.microsoft.com/office/spreadsheetml/2010/11/main" uri="{B97F6D7D-B522-45F9-BDA1-12C45D357490}">
          <x15:cacheHierarchy aggregatedColumn="13"/>
        </ext>
      </extLst>
    </cacheHierarchy>
  </cacheHierarchies>
  <kpis count="0"/>
  <dimensions count="3">
    <dimension measure="1" name="Measures" uniqueName="[Measures]" caption="Measures"/>
    <dimension name="release_calendar" uniqueName="[release_calendar]" caption="release_calendar"/>
    <dimension name="steam_app_database" uniqueName="[steam_app_database]" caption="steam_app_database"/>
  </dimensions>
  <measureGroups count="2">
    <measureGroup name="release_calendar" caption="release_calendar"/>
    <measureGroup name="steam_app_database" caption="steam_app_database"/>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ngston Stewart" refreshedDate="46265.989936921294" backgroundQuery="1" createdVersion="8" refreshedVersion="8" minRefreshableVersion="3" recordCount="0" supportSubquery="1" supportAdvancedDrill="1" xr:uid="{48DFE794-B100-4210-8143-377D3AA06C2E}">
  <cacheSource type="external" connectionId="4"/>
  <cacheFields count="5">
    <cacheField name="[release_calendar].[Date Hierarchy].[Year]" caption="Year" numFmtId="0" hierarchy="1" level="1">
      <sharedItems containsString="0" containsBlank="1" containsNumber="1" containsInteger="1" minValue="1998" maxValue="2026" count="26">
        <n v="1998"/>
        <n v="2000"/>
        <n v="2004"/>
        <n v="2005"/>
        <n v="2006"/>
        <n v="2007"/>
        <n v="2008"/>
        <n v="2009"/>
        <n v="2010"/>
        <n v="2011"/>
        <n v="2012"/>
        <n v="2013"/>
        <n v="2014"/>
        <n v="2015"/>
        <n v="2016"/>
        <n v="2017"/>
        <n v="2018"/>
        <n v="2019"/>
        <n v="2020"/>
        <n v="2021"/>
        <n v="2022"/>
        <n v="2023"/>
        <n v="2024"/>
        <n v="2025"/>
        <n v="2026"/>
        <m u="1"/>
      </sharedItems>
      <extLst>
        <ext xmlns:x15="http://schemas.microsoft.com/office/spreadsheetml/2010/11/main" uri="{4F2E5C28-24EA-4eb8-9CBF-B6C8F9C3D259}">
          <x15:cachedUniqueNames>
            <x15:cachedUniqueName index="0" name="[release_calendar].[Date Hierarchy].[Year].&amp;[1998]"/>
            <x15:cachedUniqueName index="1" name="[release_calendar].[Date Hierarchy].[Year].&amp;[2000]"/>
            <x15:cachedUniqueName index="2" name="[release_calendar].[Date Hierarchy].[Year].&amp;[2004]"/>
            <x15:cachedUniqueName index="3" name="[release_calendar].[Date Hierarchy].[Year].&amp;[2005]"/>
            <x15:cachedUniqueName index="4" name="[release_calendar].[Date Hierarchy].[Year].&amp;[2006]"/>
            <x15:cachedUniqueName index="5" name="[release_calendar].[Date Hierarchy].[Year].&amp;[2007]"/>
            <x15:cachedUniqueName index="6" name="[release_calendar].[Date Hierarchy].[Year].&amp;[2008]"/>
            <x15:cachedUniqueName index="7" name="[release_calendar].[Date Hierarchy].[Year].&amp;[2009]"/>
            <x15:cachedUniqueName index="8" name="[release_calendar].[Date Hierarchy].[Year].&amp;[2010]"/>
            <x15:cachedUniqueName index="9" name="[release_calendar].[Date Hierarchy].[Year].&amp;[2011]"/>
            <x15:cachedUniqueName index="10" name="[release_calendar].[Date Hierarchy].[Year].&amp;[2012]"/>
            <x15:cachedUniqueName index="11" name="[release_calendar].[Date Hierarchy].[Year].&amp;[2013]"/>
            <x15:cachedUniqueName index="12" name="[release_calendar].[Date Hierarchy].[Year].&amp;[2014]"/>
            <x15:cachedUniqueName index="13" name="[release_calendar].[Date Hierarchy].[Year].&amp;[2015]"/>
            <x15:cachedUniqueName index="14" name="[release_calendar].[Date Hierarchy].[Year].&amp;[2016]"/>
            <x15:cachedUniqueName index="15" name="[release_calendar].[Date Hierarchy].[Year].&amp;[2017]"/>
            <x15:cachedUniqueName index="16" name="[release_calendar].[Date Hierarchy].[Year].&amp;[2018]"/>
            <x15:cachedUniqueName index="17" name="[release_calendar].[Date Hierarchy].[Year].&amp;[2019]"/>
            <x15:cachedUniqueName index="18" name="[release_calendar].[Date Hierarchy].[Year].&amp;[2020]"/>
            <x15:cachedUniqueName index="19" name="[release_calendar].[Date Hierarchy].[Year].&amp;[2021]"/>
            <x15:cachedUniqueName index="20" name="[release_calendar].[Date Hierarchy].[Year].&amp;[2022]"/>
            <x15:cachedUniqueName index="21" name="[release_calendar].[Date Hierarchy].[Year].&amp;[2023]"/>
            <x15:cachedUniqueName index="22" name="[release_calendar].[Date Hierarchy].[Year].&amp;[2024]"/>
            <x15:cachedUniqueName index="23" name="[release_calendar].[Date Hierarchy].[Year].&amp;[2025]"/>
            <x15:cachedUniqueName index="24" name="[release_calendar].[Date Hierarchy].[Year].&amp;[2026]"/>
            <x15:cachedUniqueName index="25" name="[release_calendar].[Date Hierarchy].[Year].&amp;"/>
          </x15:cachedUniqueNames>
        </ext>
      </extLst>
    </cacheField>
    <cacheField name="[release_calendar].[Date Hierarchy].[Month]" caption="Month" numFmtId="0" hierarchy="1" level="2">
      <sharedItems containsSemiMixedTypes="0" containsNonDate="0" containsString="0"/>
    </cacheField>
    <cacheField name="[release_calendar].[Date Hierarchy].[DateColumn]" caption="DateColumn" numFmtId="0" hierarchy="1" level="3">
      <sharedItems containsSemiMixedTypes="0" containsNonDate="0" containsString="0"/>
    </cacheField>
    <cacheField name="[Measures].[Average Game Price]" caption="Average Game Price" numFmtId="0" hierarchy="26" level="32767"/>
    <cacheField name="Unsupported0" numFmtId="0" hierarchy="45" level="32767">
      <extLst>
        <ext xmlns:x14="http://schemas.microsoft.com/office/spreadsheetml/2009/9/main" uri="{63CAB8AC-B538-458d-9737-405883B0398D}">
          <x14:cacheField ignore="1"/>
        </ext>
      </extLst>
    </cacheField>
  </cacheFields>
  <cacheHierarchies count="46">
    <cacheHierarchy uniqueName="[release_calendar].[Date]" caption="Date" attribute="1" time="1" keyAttribute="1" defaultMemberUniqueName="[release_calendar].[Date].[All]" allUniqueName="[release_calendar].[Date].[All]" dimensionUniqueName="[release_calendar]" displayFolder="" count="0" memberValueDatatype="7" unbalanced="0"/>
    <cacheHierarchy uniqueName="[release_calendar].[Date Hierarchy]" caption="Date Hierarchy" time="1" defaultMemberUniqueName="[release_calendar].[Date Hierarchy].[All]" allUniqueName="[release_calendar].[Date Hierarchy].[All]" dimensionUniqueName="[release_calendar]" displayFolder="" count="4" unbalanced="0">
      <fieldsUsage count="4">
        <fieldUsage x="-1"/>
        <fieldUsage x="0"/>
        <fieldUsage x="1"/>
        <fieldUsage x="2"/>
      </fieldsUsage>
    </cacheHierarchy>
    <cacheHierarchy uniqueName="[release_calendar].[Year]" caption="Year" attribute="1" time="1" defaultMemberUniqueName="[release_calendar].[Year].[All]" allUniqueName="[release_calendar].[Year].[All]" dimensionUniqueName="[release_calendar]" displayFolder="" count="0" memberValueDatatype="20" unbalanced="0"/>
    <cacheHierarchy uniqueName="[release_calendar].[Month Number]" caption="Month Number" attribute="1" time="1" defaultMemberUniqueName="[release_calendar].[Month Number].[All]" allUniqueName="[release_calendar].[Month Number].[All]" dimensionUniqueName="[release_calendar]" displayFolder="" count="0" memberValueDatatype="20" unbalanced="0"/>
    <cacheHierarchy uniqueName="[release_calendar].[Month]" caption="Month" attribute="1" time="1" defaultMemberUniqueName="[release_calendar].[Month].[All]" allUniqueName="[release_calendar].[Month].[All]" dimensionUniqueName="[release_calendar]" displayFolder="" count="0" memberValueDatatype="130" unbalanced="0"/>
    <cacheHierarchy uniqueName="[release_calendar].[MMM-YYYY]" caption="MMM-YYYY" attribute="1" time="1" defaultMemberUniqueName="[release_calendar].[MMM-YYYY].[All]" allUniqueName="[release_calendar].[MMM-YYYY].[All]" dimensionUniqueName="[release_calendar]" displayFolder="" count="0" memberValueDatatype="130" unbalanced="0"/>
    <cacheHierarchy uniqueName="[release_calendar].[Day Of Week Number]" caption="Day Of Week Number" attribute="1" time="1" defaultMemberUniqueName="[release_calendar].[Day Of Week Number].[All]" allUniqueName="[release_calendar].[Day Of Week Number].[All]" dimensionUniqueName="[release_calendar]" displayFolder="" count="0" memberValueDatatype="20" unbalanced="0"/>
    <cacheHierarchy uniqueName="[release_calendar].[Day Of Week]" caption="Day Of Week" attribute="1" time="1" defaultMemberUniqueName="[release_calendar].[Day Of Week].[All]" allUniqueName="[release_calendar].[Day Of Week].[All]" dimensionUniqueName="[release_calendar]" displayFolder="" count="0" memberValueDatatype="130" unbalanced="0"/>
    <cacheHierarchy uniqueName="[steam_app_database].[appid]" caption="appid" attribute="1" defaultMemberUniqueName="[steam_app_database].[appid].[All]" allUniqueName="[steam_app_database].[appid].[All]" dimensionUniqueName="[steam_app_database]" displayFolder="" count="0" memberValueDatatype="130" unbalanced="0"/>
    <cacheHierarchy uniqueName="[steam_app_database].[name]" caption="name" attribute="1" defaultMemberUniqueName="[steam_app_database].[name].[All]" allUniqueName="[steam_app_database].[name].[All]" dimensionUniqueName="[steam_app_database]" displayFolder="" count="0" memberValueDatatype="130" unbalanced="0"/>
    <cacheHierarchy uniqueName="[steam_app_database].[releasedate]" caption="releasedate" attribute="1" time="1" defaultMemberUniqueName="[steam_app_database].[releasedate].[All]" allUniqueName="[steam_app_database].[releasedate].[All]" dimensionUniqueName="[steam_app_database]" displayFolder="" count="0" memberValueDatatype="7" unbalanced="0"/>
    <cacheHierarchy uniqueName="[steam_app_database].[is_free]" caption="is_free" attribute="1" defaultMemberUniqueName="[steam_app_database].[is_free].[All]" allUniqueName="[steam_app_database].[is_free].[All]" dimensionUniqueName="[steam_app_database]" displayFolder="" count="0" memberValueDatatype="130" unbalanced="0"/>
    <cacheHierarchy uniqueName="[steam_app_database].[price_usd]" caption="price_usd" attribute="1" defaultMemberUniqueName="[steam_app_database].[price_usd].[All]" allUniqueName="[steam_app_database].[price_usd].[All]" dimensionUniqueName="[steam_app_database]" displayFolder="" count="0" memberValueDatatype="5" unbalanced="0"/>
    <cacheHierarchy uniqueName="[steam_app_database].[genre]" caption="genre" attribute="1" defaultMemberUniqueName="[steam_app_database].[genre].[All]" allUniqueName="[steam_app_database].[genre].[All]" dimensionUniqueName="[steam_app_database]" displayFolder="" count="0" memberValueDatatype="130" unbalanced="0"/>
    <cacheHierarchy uniqueName="[steam_app_database].[achievement_count]" caption="achievement_count" attribute="1" defaultMemberUniqueName="[steam_app_database].[achievement_count].[All]" allUniqueName="[steam_app_database].[achievement_count].[All]" dimensionUniqueName="[steam_app_database]" displayFolder="" count="0" memberValueDatatype="20" unbalanced="0"/>
    <cacheHierarchy uniqueName="[steam_app_database].[developer]" caption="developer" attribute="1" defaultMemberUniqueName="[steam_app_database].[developer].[All]" allUniqueName="[steam_app_database].[developer].[All]" dimensionUniqueName="[steam_app_database]" displayFolder="" count="0" memberValueDatatype="130" unbalanced="0"/>
    <cacheHierarchy uniqueName="[steam_app_database].[publisher]" caption="publisher" attribute="1" defaultMemberUniqueName="[steam_app_database].[publisher].[All]" allUniqueName="[steam_app_database].[publisher].[All]" dimensionUniqueName="[steam_app_database]" displayFolder="" count="0" memberValueDatatype="130" unbalanced="0"/>
    <cacheHierarchy uniqueName="[steam_app_database].[player_count]" caption="player_count" attribute="1" defaultMemberUniqueName="[steam_app_database].[player_count].[All]" allUniqueName="[steam_app_database].[player_count].[All]" dimensionUniqueName="[steam_app_database]" displayFolder="" count="0" memberValueDatatype="20" unbalanced="0"/>
    <cacheHierarchy uniqueName="[steam_app_database].[review_score]" caption="review_score" attribute="1" defaultMemberUniqueName="[steam_app_database].[review_score].[All]" allUniqueName="[steam_app_database].[review_score].[All]" dimensionUniqueName="[steam_app_database]" displayFolder="" count="0" memberValueDatatype="20" unbalanced="0"/>
    <cacheHierarchy uniqueName="[steam_app_database].[review_score_desc]" caption="review_score_desc" attribute="1" defaultMemberUniqueName="[steam_app_database].[review_score_desc].[All]" allUniqueName="[steam_app_database].[review_score_desc].[All]" dimensionUniqueName="[steam_app_database]" displayFolder="" count="0" memberValueDatatype="130" unbalanced="0"/>
    <cacheHierarchy uniqueName="[steam_app_database].[total_positive]" caption="total_positive" attribute="1" defaultMemberUniqueName="[steam_app_database].[total_positive].[All]" allUniqueName="[steam_app_database].[total_positive].[All]" dimensionUniqueName="[steam_app_database]" displayFolder="" count="0" memberValueDatatype="20" unbalanced="0"/>
    <cacheHierarchy uniqueName="[steam_app_database].[total_negative]" caption="total_negative" attribute="1" defaultMemberUniqueName="[steam_app_database].[total_negative].[All]" allUniqueName="[steam_app_database].[total_negative].[All]" dimensionUniqueName="[steam_app_database]" displayFolder="" count="0" memberValueDatatype="20" unbalanced="0"/>
    <cacheHierarchy uniqueName="[steam_app_database].[total_reviews]" caption="total_reviews" attribute="1" defaultMemberUniqueName="[steam_app_database].[total_reviews].[All]" allUniqueName="[steam_app_database].[total_reviews].[All]" dimensionUniqueName="[steam_app_database]" displayFolder="" count="0" memberValueDatatype="20" unbalanced="0"/>
    <cacheHierarchy uniqueName="[steam_app_database].[free_or_paid]" caption="free_or_paid" attribute="1" defaultMemberUniqueName="[steam_app_database].[free_or_paid].[All]" allUniqueName="[steam_app_database].[free_or_paid].[All]" dimensionUniqueName="[steam_app_database]" displayFolder="" count="0" memberValueDatatype="130" unbalanced="0"/>
    <cacheHierarchy uniqueName="[Measures].[Player Count]" caption="Player Count" measure="1" displayFolder="" measureGroup="steam_app_database" count="0"/>
    <cacheHierarchy uniqueName="[Measures].[Game Count]" caption="Game Count" measure="1" displayFolder="" measureGroup="steam_app_database" count="0"/>
    <cacheHierarchy uniqueName="[Measures].[Average Game Price]" caption="Average Game Price" measure="1" displayFolder="" measureGroup="steam_app_database" count="0" oneField="1">
      <fieldsUsage count="1">
        <fieldUsage x="3"/>
      </fieldsUsage>
    </cacheHierarchy>
    <cacheHierarchy uniqueName="[Measures].[Positive Review Percentage]" caption="Positive Review Percentage" measure="1" displayFolder="" measureGroup="steam_app_database" count="0"/>
    <cacheHierarchy uniqueName="[Measures].[Negative Review Percentage]" caption="Negative Review Percentage" measure="1" displayFolder="" measureGroup="steam_app_database" count="0"/>
    <cacheHierarchy uniqueName="[Measures].[__XL_Count steam_app_database]" caption="__XL_Count steam_app_database" measure="1" displayFolder="" measureGroup="steam_app_database" count="0" hidden="1"/>
    <cacheHierarchy uniqueName="[Measures].[__XL_Count Calendar]" caption="__XL_Count Calendar" measure="1" displayFolder="" measureGroup="release_calendar" count="0" hidden="1"/>
    <cacheHierarchy uniqueName="[Measures].[__No measures defined]" caption="__No measures defined" measure="1" displayFolder="" count="0" hidden="1"/>
    <cacheHierarchy uniqueName="[Measures].[Count of player_count]" caption="Count of player_count" measure="1" displayFolder="" measureGroup="steam_app_database" count="0" hidden="1">
      <extLst>
        <ext xmlns:x15="http://schemas.microsoft.com/office/spreadsheetml/2010/11/main" uri="{B97F6D7D-B522-45F9-BDA1-12C45D357490}">
          <x15:cacheHierarchy aggregatedColumn="17"/>
        </ext>
      </extLst>
    </cacheHierarchy>
    <cacheHierarchy uniqueName="[Measures].[Count of name]" caption="Count of name" measure="1" displayFolder="" measureGroup="steam_app_database" count="0" hidden="1">
      <extLst>
        <ext xmlns:x15="http://schemas.microsoft.com/office/spreadsheetml/2010/11/main" uri="{B97F6D7D-B522-45F9-BDA1-12C45D357490}">
          <x15:cacheHierarchy aggregatedColumn="9"/>
        </ext>
      </extLst>
    </cacheHierarchy>
    <cacheHierarchy uniqueName="[Measures].[Sum of player_count]" caption="Sum of player_count" measure="1" displayFolder="" measureGroup="steam_app_database" count="0" hidden="1">
      <extLst>
        <ext xmlns:x15="http://schemas.microsoft.com/office/spreadsheetml/2010/11/main" uri="{B97F6D7D-B522-45F9-BDA1-12C45D357490}">
          <x15:cacheHierarchy aggregatedColumn="17"/>
        </ext>
      </extLst>
    </cacheHierarchy>
    <cacheHierarchy uniqueName="[Measures].[Sum of Year]" caption="Sum of Year" measure="1" displayFolder="" measureGroup="release_calendar" count="0" hidden="1">
      <extLst>
        <ext xmlns:x15="http://schemas.microsoft.com/office/spreadsheetml/2010/11/main" uri="{B97F6D7D-B522-45F9-BDA1-12C45D357490}">
          <x15:cacheHierarchy aggregatedColumn="2"/>
        </ext>
      </extLst>
    </cacheHierarchy>
    <cacheHierarchy uniqueName="[Measures].[Count of appid]" caption="Count of appid" measure="1" displayFolder="" measureGroup="steam_app_database" count="0" hidden="1">
      <extLst>
        <ext xmlns:x15="http://schemas.microsoft.com/office/spreadsheetml/2010/11/main" uri="{B97F6D7D-B522-45F9-BDA1-12C45D357490}">
          <x15:cacheHierarchy aggregatedColumn="8"/>
        </ext>
      </extLst>
    </cacheHierarchy>
    <cacheHierarchy uniqueName="[Measures].[Sum of price_usd]" caption="Sum of price_usd" measure="1" displayFolder="" measureGroup="steam_app_database" count="0" hidden="1">
      <extLst>
        <ext xmlns:x15="http://schemas.microsoft.com/office/spreadsheetml/2010/11/main" uri="{B97F6D7D-B522-45F9-BDA1-12C45D357490}">
          <x15:cacheHierarchy aggregatedColumn="12"/>
        </ext>
      </extLst>
    </cacheHierarchy>
    <cacheHierarchy uniqueName="[Measures].[Average of price_usd]" caption="Average of price_usd" measure="1" displayFolder="" measureGroup="steam_app_database" count="0" hidden="1">
      <extLst>
        <ext xmlns:x15="http://schemas.microsoft.com/office/spreadsheetml/2010/11/main" uri="{B97F6D7D-B522-45F9-BDA1-12C45D357490}">
          <x15:cacheHierarchy aggregatedColumn="12"/>
        </ext>
      </extLst>
    </cacheHierarchy>
    <cacheHierarchy uniqueName="[Measures].[Sum of review_score]" caption="Sum of review_score" measure="1" displayFolder="" measureGroup="steam_app_database" count="0" hidden="1">
      <extLst>
        <ext xmlns:x15="http://schemas.microsoft.com/office/spreadsheetml/2010/11/main" uri="{B97F6D7D-B522-45F9-BDA1-12C45D357490}">
          <x15:cacheHierarchy aggregatedColumn="18"/>
        </ext>
      </extLst>
    </cacheHierarchy>
    <cacheHierarchy uniqueName="[Measures].[Sum of total_positive]" caption="Sum of total_positive" measure="1" displayFolder="" measureGroup="steam_app_database" count="0" hidden="1">
      <extLst>
        <ext xmlns:x15="http://schemas.microsoft.com/office/spreadsheetml/2010/11/main" uri="{B97F6D7D-B522-45F9-BDA1-12C45D357490}">
          <x15:cacheHierarchy aggregatedColumn="20"/>
        </ext>
      </extLst>
    </cacheHierarchy>
    <cacheHierarchy uniqueName="[Measures].[Sum of total_reviews]" caption="Sum of total_reviews" measure="1" displayFolder="" measureGroup="steam_app_database" count="0" hidden="1">
      <extLst>
        <ext xmlns:x15="http://schemas.microsoft.com/office/spreadsheetml/2010/11/main" uri="{B97F6D7D-B522-45F9-BDA1-12C45D357490}">
          <x15:cacheHierarchy aggregatedColumn="22"/>
        </ext>
      </extLst>
    </cacheHierarchy>
    <cacheHierarchy uniqueName="[Measures].[Sum of total_negative]" caption="Sum of total_negative" measure="1" displayFolder="" measureGroup="steam_app_database" count="0" hidden="1">
      <extLst>
        <ext xmlns:x15="http://schemas.microsoft.com/office/spreadsheetml/2010/11/main" uri="{B97F6D7D-B522-45F9-BDA1-12C45D357490}">
          <x15:cacheHierarchy aggregatedColumn="21"/>
        </ext>
      </extLst>
    </cacheHierarchy>
    <cacheHierarchy uniqueName="[Measures].[Average of player_count]" caption="Average of player_count" measure="1" displayFolder="" measureGroup="steam_app_database" count="0" hidden="1">
      <extLst>
        <ext xmlns:x15="http://schemas.microsoft.com/office/spreadsheetml/2010/11/main" uri="{B97F6D7D-B522-45F9-BDA1-12C45D357490}">
          <x15:cacheHierarchy aggregatedColumn="17"/>
        </ext>
      </extLst>
    </cacheHierarchy>
    <cacheHierarchy uniqueName="[Measures].[Count of genre]" caption="Count of genre" measure="1" displayFolder="" measureGroup="steam_app_database" count="0" hidden="1">
      <extLst>
        <ext xmlns:x15="http://schemas.microsoft.com/office/spreadsheetml/2010/11/main" uri="{B97F6D7D-B522-45F9-BDA1-12C45D357490}">
          <x15:cacheHierarchy aggregatedColumn="13"/>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measure="1" name="Measures" uniqueName="[Measures]" caption="Measures"/>
    <dimension name="release_calendar" uniqueName="[release_calendar]" caption="release_calendar"/>
    <dimension name="steam_app_database" uniqueName="[steam_app_database]" caption="steam_app_database"/>
  </dimensions>
  <measureGroups count="2">
    <measureGroup name="release_calendar" caption="release_calendar"/>
    <measureGroup name="steam_app_database" caption="steam_app_database"/>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ngston Stewart" refreshedDate="46265.989944907407" backgroundQuery="1" createdVersion="8" refreshedVersion="8" minRefreshableVersion="3" recordCount="0" supportSubquery="1" supportAdvancedDrill="1" xr:uid="{54184267-2F3B-4BD8-9599-7B4F4E7B54EF}">
  <cacheSource type="external" connectionId="4"/>
  <cacheFields count="2">
    <cacheField name="[steam_app_database].[developer].[developer]" caption="developer" numFmtId="0" hierarchy="15" level="1">
      <sharedItems count="25">
        <s v="Arc System Works"/>
        <s v="Avalanche Software"/>
        <s v="Bandai Namco Studios"/>
        <s v="Battlefield Studios"/>
        <s v="BioWare"/>
        <s v="Bloober Team SA"/>
        <s v="Criterion Games"/>
        <s v="EA Canada"/>
        <s v="Expression Games"/>
        <s v="Game Science"/>
        <s v="Game Studio Inc."/>
        <s v="Ghost Games"/>
        <s v="KOEI TECMO GAMES CO., LTD."/>
        <s v="LEVEL5 Inc."/>
        <s v="Media.Vision Inc."/>
        <s v="NeoBards Entertainment Ltd."/>
        <s v="Playground Games"/>
        <s v="Respawn"/>
        <s v="RGG Studio"/>
        <s v="Sledgehammer Games"/>
        <s v="Sonic Team"/>
        <s v="Tiburon"/>
        <s v="Ubisoft Ivory Tower"/>
        <s v="Ubisoft Quebec"/>
        <s v="Visual Concepts"/>
      </sharedItems>
    </cacheField>
    <cacheField name="[Measures].[Average of price_usd]" caption="Average of price_usd" numFmtId="0" hierarchy="38" level="32767"/>
  </cacheFields>
  <cacheHierarchies count="45">
    <cacheHierarchy uniqueName="[release_calendar].[Date]" caption="Date" attribute="1" time="1" keyAttribute="1" defaultMemberUniqueName="[release_calendar].[Date].[All]" allUniqueName="[release_calendar].[Date].[All]" dimensionUniqueName="[release_calendar]" displayFolder="" count="0" memberValueDatatype="7" unbalanced="0"/>
    <cacheHierarchy uniqueName="[release_calendar].[Date Hierarchy]" caption="Date Hierarchy" time="1" defaultMemberUniqueName="[release_calendar].[Date Hierarchy].[All]" allUniqueName="[release_calendar].[Date Hierarchy].[All]" dimensionUniqueName="[release_calendar]" displayFolder="" count="0" unbalanced="0"/>
    <cacheHierarchy uniqueName="[release_calendar].[Year]" caption="Year" attribute="1" time="1" defaultMemberUniqueName="[release_calendar].[Year].[All]" allUniqueName="[release_calendar].[Year].[All]" dimensionUniqueName="[release_calendar]" displayFolder="" count="0" memberValueDatatype="20" unbalanced="0"/>
    <cacheHierarchy uniqueName="[release_calendar].[Month Number]" caption="Month Number" attribute="1" time="1" defaultMemberUniqueName="[release_calendar].[Month Number].[All]" allUniqueName="[release_calendar].[Month Number].[All]" dimensionUniqueName="[release_calendar]" displayFolder="" count="0" memberValueDatatype="20" unbalanced="0"/>
    <cacheHierarchy uniqueName="[release_calendar].[Month]" caption="Month" attribute="1" time="1" defaultMemberUniqueName="[release_calendar].[Month].[All]" allUniqueName="[release_calendar].[Month].[All]" dimensionUniqueName="[release_calendar]" displayFolder="" count="0" memberValueDatatype="130" unbalanced="0"/>
    <cacheHierarchy uniqueName="[release_calendar].[MMM-YYYY]" caption="MMM-YYYY" attribute="1" time="1" defaultMemberUniqueName="[release_calendar].[MMM-YYYY].[All]" allUniqueName="[release_calendar].[MMM-YYYY].[All]" dimensionUniqueName="[release_calendar]" displayFolder="" count="0" memberValueDatatype="130" unbalanced="0"/>
    <cacheHierarchy uniqueName="[release_calendar].[Day Of Week Number]" caption="Day Of Week Number" attribute="1" time="1" defaultMemberUniqueName="[release_calendar].[Day Of Week Number].[All]" allUniqueName="[release_calendar].[Day Of Week Number].[All]" dimensionUniqueName="[release_calendar]" displayFolder="" count="0" memberValueDatatype="20" unbalanced="0"/>
    <cacheHierarchy uniqueName="[release_calendar].[Day Of Week]" caption="Day Of Week" attribute="1" time="1" defaultMemberUniqueName="[release_calendar].[Day Of Week].[All]" allUniqueName="[release_calendar].[Day Of Week].[All]" dimensionUniqueName="[release_calendar]" displayFolder="" count="0" memberValueDatatype="130" unbalanced="0"/>
    <cacheHierarchy uniqueName="[steam_app_database].[appid]" caption="appid" attribute="1" defaultMemberUniqueName="[steam_app_database].[appid].[All]" allUniqueName="[steam_app_database].[appid].[All]" dimensionUniqueName="[steam_app_database]" displayFolder="" count="0" memberValueDatatype="130" unbalanced="0"/>
    <cacheHierarchy uniqueName="[steam_app_database].[name]" caption="name" attribute="1" defaultMemberUniqueName="[steam_app_database].[name].[All]" allUniqueName="[steam_app_database].[name].[All]" dimensionUniqueName="[steam_app_database]" displayFolder="" count="0" memberValueDatatype="130" unbalanced="0"/>
    <cacheHierarchy uniqueName="[steam_app_database].[releasedate]" caption="releasedate" attribute="1" time="1" defaultMemberUniqueName="[steam_app_database].[releasedate].[All]" allUniqueName="[steam_app_database].[releasedate].[All]" dimensionUniqueName="[steam_app_database]" displayFolder="" count="0" memberValueDatatype="7" unbalanced="0"/>
    <cacheHierarchy uniqueName="[steam_app_database].[is_free]" caption="is_free" attribute="1" defaultMemberUniqueName="[steam_app_database].[is_free].[All]" allUniqueName="[steam_app_database].[is_free].[All]" dimensionUniqueName="[steam_app_database]" displayFolder="" count="0" memberValueDatatype="130" unbalanced="0"/>
    <cacheHierarchy uniqueName="[steam_app_database].[price_usd]" caption="price_usd" attribute="1" defaultMemberUniqueName="[steam_app_database].[price_usd].[All]" allUniqueName="[steam_app_database].[price_usd].[All]" dimensionUniqueName="[steam_app_database]" displayFolder="" count="0" memberValueDatatype="5" unbalanced="0"/>
    <cacheHierarchy uniqueName="[steam_app_database].[genre]" caption="genre" attribute="1" defaultMemberUniqueName="[steam_app_database].[genre].[All]" allUniqueName="[steam_app_database].[genre].[All]" dimensionUniqueName="[steam_app_database]" displayFolder="" count="0" memberValueDatatype="130" unbalanced="0"/>
    <cacheHierarchy uniqueName="[steam_app_database].[achievement_count]" caption="achievement_count" attribute="1" defaultMemberUniqueName="[steam_app_database].[achievement_count].[All]" allUniqueName="[steam_app_database].[achievement_count].[All]" dimensionUniqueName="[steam_app_database]" displayFolder="" count="0" memberValueDatatype="20" unbalanced="0"/>
    <cacheHierarchy uniqueName="[steam_app_database].[developer]" caption="developer" attribute="1" defaultMemberUniqueName="[steam_app_database].[developer].[All]" allUniqueName="[steam_app_database].[developer].[All]" dimensionUniqueName="[steam_app_database]" displayFolder="" count="2" memberValueDatatype="130" unbalanced="0">
      <fieldsUsage count="2">
        <fieldUsage x="-1"/>
        <fieldUsage x="0"/>
      </fieldsUsage>
    </cacheHierarchy>
    <cacheHierarchy uniqueName="[steam_app_database].[publisher]" caption="publisher" attribute="1" defaultMemberUniqueName="[steam_app_database].[publisher].[All]" allUniqueName="[steam_app_database].[publisher].[All]" dimensionUniqueName="[steam_app_database]" displayFolder="" count="0" memberValueDatatype="130" unbalanced="0"/>
    <cacheHierarchy uniqueName="[steam_app_database].[player_count]" caption="player_count" attribute="1" defaultMemberUniqueName="[steam_app_database].[player_count].[All]" allUniqueName="[steam_app_database].[player_count].[All]" dimensionUniqueName="[steam_app_database]" displayFolder="" count="0" memberValueDatatype="20" unbalanced="0"/>
    <cacheHierarchy uniqueName="[steam_app_database].[review_score]" caption="review_score" attribute="1" defaultMemberUniqueName="[steam_app_database].[review_score].[All]" allUniqueName="[steam_app_database].[review_score].[All]" dimensionUniqueName="[steam_app_database]" displayFolder="" count="0" memberValueDatatype="20" unbalanced="0"/>
    <cacheHierarchy uniqueName="[steam_app_database].[review_score_desc]" caption="review_score_desc" attribute="1" defaultMemberUniqueName="[steam_app_database].[review_score_desc].[All]" allUniqueName="[steam_app_database].[review_score_desc].[All]" dimensionUniqueName="[steam_app_database]" displayFolder="" count="0" memberValueDatatype="130" unbalanced="0"/>
    <cacheHierarchy uniqueName="[steam_app_database].[total_positive]" caption="total_positive" attribute="1" defaultMemberUniqueName="[steam_app_database].[total_positive].[All]" allUniqueName="[steam_app_database].[total_positive].[All]" dimensionUniqueName="[steam_app_database]" displayFolder="" count="0" memberValueDatatype="20" unbalanced="0"/>
    <cacheHierarchy uniqueName="[steam_app_database].[total_negative]" caption="total_negative" attribute="1" defaultMemberUniqueName="[steam_app_database].[total_negative].[All]" allUniqueName="[steam_app_database].[total_negative].[All]" dimensionUniqueName="[steam_app_database]" displayFolder="" count="0" memberValueDatatype="20" unbalanced="0"/>
    <cacheHierarchy uniqueName="[steam_app_database].[total_reviews]" caption="total_reviews" attribute="1" defaultMemberUniqueName="[steam_app_database].[total_reviews].[All]" allUniqueName="[steam_app_database].[total_reviews].[All]" dimensionUniqueName="[steam_app_database]" displayFolder="" count="0" memberValueDatatype="20" unbalanced="0"/>
    <cacheHierarchy uniqueName="[steam_app_database].[free_or_paid]" caption="free_or_paid" attribute="1" defaultMemberUniqueName="[steam_app_database].[free_or_paid].[All]" allUniqueName="[steam_app_database].[free_or_paid].[All]" dimensionUniqueName="[steam_app_database]" displayFolder="" count="0" memberValueDatatype="130" unbalanced="0"/>
    <cacheHierarchy uniqueName="[Measures].[Player Count]" caption="Player Count" measure="1" displayFolder="" measureGroup="steam_app_database" count="0"/>
    <cacheHierarchy uniqueName="[Measures].[Game Count]" caption="Game Count" measure="1" displayFolder="" measureGroup="steam_app_database" count="0"/>
    <cacheHierarchy uniqueName="[Measures].[Average Game Price]" caption="Average Game Price" measure="1" displayFolder="" measureGroup="steam_app_database" count="0"/>
    <cacheHierarchy uniqueName="[Measures].[Positive Review Percentage]" caption="Positive Review Percentage" measure="1" displayFolder="" measureGroup="steam_app_database" count="0"/>
    <cacheHierarchy uniqueName="[Measures].[Negative Review Percentage]" caption="Negative Review Percentage" measure="1" displayFolder="" measureGroup="steam_app_database" count="0"/>
    <cacheHierarchy uniqueName="[Measures].[__XL_Count steam_app_database]" caption="__XL_Count steam_app_database" measure="1" displayFolder="" measureGroup="steam_app_database" count="0" hidden="1"/>
    <cacheHierarchy uniqueName="[Measures].[__XL_Count Calendar]" caption="__XL_Count Calendar" measure="1" displayFolder="" measureGroup="release_calendar" count="0" hidden="1"/>
    <cacheHierarchy uniqueName="[Measures].[__No measures defined]" caption="__No measures defined" measure="1" displayFolder="" count="0" hidden="1"/>
    <cacheHierarchy uniqueName="[Measures].[Count of player_count]" caption="Count of player_count" measure="1" displayFolder="" measureGroup="steam_app_database" count="0" hidden="1">
      <extLst>
        <ext xmlns:x15="http://schemas.microsoft.com/office/spreadsheetml/2010/11/main" uri="{B97F6D7D-B522-45F9-BDA1-12C45D357490}">
          <x15:cacheHierarchy aggregatedColumn="17"/>
        </ext>
      </extLst>
    </cacheHierarchy>
    <cacheHierarchy uniqueName="[Measures].[Count of name]" caption="Count of name" measure="1" displayFolder="" measureGroup="steam_app_database" count="0" hidden="1">
      <extLst>
        <ext xmlns:x15="http://schemas.microsoft.com/office/spreadsheetml/2010/11/main" uri="{B97F6D7D-B522-45F9-BDA1-12C45D357490}">
          <x15:cacheHierarchy aggregatedColumn="9"/>
        </ext>
      </extLst>
    </cacheHierarchy>
    <cacheHierarchy uniqueName="[Measures].[Sum of player_count]" caption="Sum of player_count" measure="1" displayFolder="" measureGroup="steam_app_database" count="0" hidden="1">
      <extLst>
        <ext xmlns:x15="http://schemas.microsoft.com/office/spreadsheetml/2010/11/main" uri="{B97F6D7D-B522-45F9-BDA1-12C45D357490}">
          <x15:cacheHierarchy aggregatedColumn="17"/>
        </ext>
      </extLst>
    </cacheHierarchy>
    <cacheHierarchy uniqueName="[Measures].[Sum of Year]" caption="Sum of Year" measure="1" displayFolder="" measureGroup="release_calendar" count="0" hidden="1">
      <extLst>
        <ext xmlns:x15="http://schemas.microsoft.com/office/spreadsheetml/2010/11/main" uri="{B97F6D7D-B522-45F9-BDA1-12C45D357490}">
          <x15:cacheHierarchy aggregatedColumn="2"/>
        </ext>
      </extLst>
    </cacheHierarchy>
    <cacheHierarchy uniqueName="[Measures].[Count of appid]" caption="Count of appid" measure="1" displayFolder="" measureGroup="steam_app_database" count="0" hidden="1">
      <extLst>
        <ext xmlns:x15="http://schemas.microsoft.com/office/spreadsheetml/2010/11/main" uri="{B97F6D7D-B522-45F9-BDA1-12C45D357490}">
          <x15:cacheHierarchy aggregatedColumn="8"/>
        </ext>
      </extLst>
    </cacheHierarchy>
    <cacheHierarchy uniqueName="[Measures].[Sum of price_usd]" caption="Sum of price_usd" measure="1" displayFolder="" measureGroup="steam_app_database" count="0" hidden="1">
      <extLst>
        <ext xmlns:x15="http://schemas.microsoft.com/office/spreadsheetml/2010/11/main" uri="{B97F6D7D-B522-45F9-BDA1-12C45D357490}">
          <x15:cacheHierarchy aggregatedColumn="12"/>
        </ext>
      </extLst>
    </cacheHierarchy>
    <cacheHierarchy uniqueName="[Measures].[Average of price_usd]" caption="Average of price_usd" measure="1" displayFolder="" measureGroup="steam_app_database"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review_score]" caption="Sum of review_score" measure="1" displayFolder="" measureGroup="steam_app_database" count="0" hidden="1">
      <extLst>
        <ext xmlns:x15="http://schemas.microsoft.com/office/spreadsheetml/2010/11/main" uri="{B97F6D7D-B522-45F9-BDA1-12C45D357490}">
          <x15:cacheHierarchy aggregatedColumn="18"/>
        </ext>
      </extLst>
    </cacheHierarchy>
    <cacheHierarchy uniqueName="[Measures].[Sum of total_positive]" caption="Sum of total_positive" measure="1" displayFolder="" measureGroup="steam_app_database" count="0" hidden="1">
      <extLst>
        <ext xmlns:x15="http://schemas.microsoft.com/office/spreadsheetml/2010/11/main" uri="{B97F6D7D-B522-45F9-BDA1-12C45D357490}">
          <x15:cacheHierarchy aggregatedColumn="20"/>
        </ext>
      </extLst>
    </cacheHierarchy>
    <cacheHierarchy uniqueName="[Measures].[Sum of total_reviews]" caption="Sum of total_reviews" measure="1" displayFolder="" measureGroup="steam_app_database" count="0" hidden="1">
      <extLst>
        <ext xmlns:x15="http://schemas.microsoft.com/office/spreadsheetml/2010/11/main" uri="{B97F6D7D-B522-45F9-BDA1-12C45D357490}">
          <x15:cacheHierarchy aggregatedColumn="22"/>
        </ext>
      </extLst>
    </cacheHierarchy>
    <cacheHierarchy uniqueName="[Measures].[Sum of total_negative]" caption="Sum of total_negative" measure="1" displayFolder="" measureGroup="steam_app_database" count="0" hidden="1">
      <extLst>
        <ext xmlns:x15="http://schemas.microsoft.com/office/spreadsheetml/2010/11/main" uri="{B97F6D7D-B522-45F9-BDA1-12C45D357490}">
          <x15:cacheHierarchy aggregatedColumn="21"/>
        </ext>
      </extLst>
    </cacheHierarchy>
    <cacheHierarchy uniqueName="[Measures].[Average of player_count]" caption="Average of player_count" measure="1" displayFolder="" measureGroup="steam_app_database" count="0" hidden="1">
      <extLst>
        <ext xmlns:x15="http://schemas.microsoft.com/office/spreadsheetml/2010/11/main" uri="{B97F6D7D-B522-45F9-BDA1-12C45D357490}">
          <x15:cacheHierarchy aggregatedColumn="17"/>
        </ext>
      </extLst>
    </cacheHierarchy>
    <cacheHierarchy uniqueName="[Measures].[Count of genre]" caption="Count of genre" measure="1" displayFolder="" measureGroup="steam_app_database" count="0" hidden="1">
      <extLst>
        <ext xmlns:x15="http://schemas.microsoft.com/office/spreadsheetml/2010/11/main" uri="{B97F6D7D-B522-45F9-BDA1-12C45D357490}">
          <x15:cacheHierarchy aggregatedColumn="13"/>
        </ext>
      </extLst>
    </cacheHierarchy>
  </cacheHierarchies>
  <kpis count="0"/>
  <dimensions count="3">
    <dimension measure="1" name="Measures" uniqueName="[Measures]" caption="Measures"/>
    <dimension name="release_calendar" uniqueName="[release_calendar]" caption="release_calendar"/>
    <dimension name="steam_app_database" uniqueName="[steam_app_database]" caption="steam_app_database"/>
  </dimensions>
  <measureGroups count="2">
    <measureGroup name="release_calendar" caption="release_calendar"/>
    <measureGroup name="steam_app_database" caption="steam_app_database"/>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ngston Stewart" refreshedDate="46267.035649537036" backgroundQuery="1" createdVersion="8" refreshedVersion="8" minRefreshableVersion="3" recordCount="0" supportSubquery="1" supportAdvancedDrill="1" xr:uid="{44F966CF-96DF-4B9B-9E0F-6AF06D688533}">
  <cacheSource type="external" connectionId="4"/>
  <cacheFields count="4">
    <cacheField name="[steam_app_database].[name].[name]" caption="name" numFmtId="0" hierarchy="9" level="1">
      <sharedItems count="997">
        <s v="Among Us"/>
        <s v="Apex Legends™"/>
        <s v="ARK: Survival Evolved"/>
        <s v="Baldur's Gate 3"/>
        <s v="Call of Duty®"/>
        <s v="Counter-Strike 2"/>
        <s v="Cyberpunk 2077"/>
        <s v="Dead by Daylight"/>
        <s v="Destiny 2"/>
        <s v="Dota 2"/>
        <s v="ELDEN RING"/>
        <s v="Garry's Mod"/>
        <s v="Grand Theft Auto V Legacy"/>
        <s v="HELLDIVERS™ 2"/>
        <s v="Left 4 Dead 2"/>
        <s v="Lethal Company"/>
        <s v="Phasmophobia"/>
        <s v="PUBG: BATTLEGROUNDS"/>
        <s v="Red Dead Redemption 2"/>
        <s v="Rust"/>
        <s v="Stardew Valley"/>
        <s v="Team Fortress 2"/>
        <s v="Terraria"/>
        <s v="Tom Clancy's Rainbow Six Siege"/>
        <s v="War Thunder"/>
        <s v="Bloons TD 6" u="1"/>
        <s v="Fallout 4" u="1"/>
        <s v="Geometry Dash" u="1"/>
        <s v="PAYDAY 2" u="1"/>
        <s v="Rocket League®" u="1"/>
        <s v="The Witcher 3: Wild Hunt" u="1"/>
        <s v="Valheim" u="1"/>
        <s v="Wallpaper Engine" u="1"/>
        <s v="Brawlhalla" u="1"/>
        <s v="Crab Game" u="1"/>
        <s v="Halo Infinite" u="1"/>
        <s v="Lost Ark" u="1"/>
        <s v="Marvel Rivals" u="1"/>
        <s v="Muck" u="1"/>
        <s v="Once Human" u="1"/>
        <s v="Overwatch®" u="1"/>
        <s v="Paladins®" u="1"/>
        <s v="Path of Exile" u="1"/>
        <s v="SCP: Secret Laboratory" u="1"/>
        <s v="THE FINALS" u="1"/>
        <s v="The Sims™ 4" u="1"/>
        <s v="tModLoader" u="1"/>
        <s v="Unturned" u="1"/>
        <s v="VRChat" u="1"/>
        <s v="Warframe" u="1"/>
        <s v="Left 4 Dead" u="1"/>
        <s v="The Witcher: Enhanced Edition Director's Cut" u="1"/>
        <s v="007 First Light" u="1"/>
        <s v="Assassin's Creed Black Flag Resynced" u="1"/>
        <s v="Cairn" u="1"/>
        <s v="Crimson Desert" u="1"/>
        <s v="Far Far West" u="1"/>
        <s v="Forza Horizon 6" u="1"/>
        <s v="Gamble With Your Friends" u="1"/>
        <s v="Going Medieval" u="1"/>
        <s v="Gothic 1 Remake" u="1"/>
        <s v="GROUND BRANCH" u="1"/>
        <s v="Half Sword" u="1"/>
        <s v="Librarian: Tidy Up the Arcane Library!" u="1"/>
        <s v="Marathon" u="1"/>
        <s v="MECCHA CHAMELEON" u="1"/>
        <s v="Mewgenics" u="1"/>
        <s v="Palworld" u="1"/>
        <s v="Paralives" u="1"/>
        <s v="PRAGMATA" u="1"/>
        <s v="REANIMAL" u="1"/>
        <s v="Resident Evil Requiem" u="1"/>
        <s v="shapez 2 - Factory" u="1"/>
        <s v="Slay the Spire 2" u="1"/>
        <s v="Subnautica 2" u="1"/>
        <s v="Timberborn" u="1"/>
        <s v="Windrose" u="1"/>
        <s v="Angels Online Global" u="1"/>
        <s v="BOMBANANA! Demo" u="1"/>
        <s v="Bongo Waifu" u="1"/>
        <s v="Casualties: Unknown Demo" u="1"/>
        <s v="eBaseball™: PRO SPIRIT" u="1"/>
        <s v="Evitania Online - Idle RPG" u="1"/>
        <s v="Gloria Victis: Medieval MMORPG" u="1"/>
        <s v="GOALS" u="1"/>
        <s v="Guildrun Demo" u="1"/>
        <s v="Heartopia" u="1"/>
        <s v="IRON NEST: Heavy Turret Simulator Demo" u="1"/>
        <s v="Myth of Empires: Throne" u="1"/>
        <s v="Nomad Drive Demo" u="1"/>
        <s v="NTE: Neverness to Everness" u="1"/>
        <s v="Silly Linguine Cat Simulator Deluxe Online" u="1"/>
        <s v="Strikers Club" u="1"/>
        <s v="TBH: Task Bar Hero" u="1"/>
        <s v="The Seven Deadly Sins: Origin" u="1"/>
        <s v="Zenless Zone Zero" u="1"/>
        <s v="Barony" u="1"/>
        <s v="Batman™: Arkham Knight" u="1"/>
        <s v="BeamNG.drive" u="1"/>
        <s v="Call of Duty®: Black Ops III" u="1"/>
        <s v="Cities: Skylines" u="1"/>
        <s v="DARK SOULS™ II: Scholar of the First Sin" u="1"/>
        <s v="Divinity: Original Sin - Enhanced Edition" u="1"/>
        <s v="Dying Light" u="1"/>
        <s v="Elite Dangerous" u="1"/>
        <s v="Hotline Miami 2: Wrong Number" u="1"/>
        <s v="Just Cause™ 3" u="1"/>
        <s v="Kerbal Space Program" u="1"/>
        <s v="Mad Max" u="1"/>
        <s v="METAL GEAR SOLID V: THE PHANTOM PAIN" u="1"/>
        <s v="Mortal Kombat X" u="1"/>
        <s v="Pillars of Eternity" u="1"/>
        <s v="Prison Architect" u="1"/>
        <s v="Tabletop Simulator" u="1"/>
        <s v="The Isle" u="1"/>
        <s v="Total War: ATTILA" u="1"/>
        <s v="Undertale" u="1"/>
        <s v="Batman: Arkham City - Game of the Year Edition" u="1"/>
        <s v="Borderlands 2" u="1"/>
        <s v="Call of Duty®: Black Ops II" u="1"/>
        <s v="Castle Crashers®" u="1"/>
        <s v="Dishonored" u="1"/>
        <s v="Euro Truck Simulator 2" u="1"/>
        <s v="Far Cry 3" u="1"/>
        <s v="FTL: Faster Than Light" u="1"/>
        <s v="Hitman: Absolution™" u="1"/>
        <s v="The Witcher 2: Assassins of Kings Enhanced Edition" u="1"/>
        <s v="Torchlight II" u="1"/>
        <s v="XCOM: Enemy Unknown" u="1"/>
        <s v="Counter-Strike:Global Offensive" u="1"/>
        <s v="Crusader Kings II" u="1"/>
        <s v="MapleStory" u="1"/>
        <s v="PlanetSide 2" u="1"/>
        <s v="Realm of the Mad God Exalt" u="1"/>
        <s v="Source Filmmaker" u="1"/>
        <s v="Star Trek Online" u="1"/>
        <s v="The Lord of the Rings Online™" u="1"/>
        <s v="EVE Online" u="1"/>
        <s v="DC Universe™ Online" u="1"/>
        <s v="Antimatter Dimensions" u="1"/>
        <s v="Asphalt Legends" u="1"/>
        <s v="Guild Wars 2®" u="1"/>
        <s v="OBS Studio" u="1"/>
        <s v="Quake Champions" u="1"/>
        <s v="SAO Utils 2: Progressive" u="1"/>
        <s v="STALZONE" u="1"/>
        <s v="Tap Ninja - Idle game" u="1"/>
        <s v="UNDECEMBER: The Forge" u="1"/>
        <s v="Yu-Gi-Oh! Master Duel" u="1"/>
        <s v="ヘブンバーンズレッド" u="1"/>
        <s v="Aimlabs" u="1"/>
        <s v="Caliber" u="1"/>
        <s v="Combat Master: Season 5" u="1"/>
        <s v="Crosshair V2" u="1"/>
        <s v="Eternal Return" u="1"/>
        <s v="Farlight 84" u="1"/>
        <s v="Half Sword Tech Demo" u="1"/>
        <s v="Hero's Land" u="1"/>
        <s v="HoloCure - Save the Fans!" u="1"/>
        <s v="Limbus Company" u="1"/>
        <s v="Magic: The Gathering Arena" u="1"/>
        <s v="MARVEL SNAP" u="1"/>
        <s v="MY HERO ULTRA RUMBLE" u="1"/>
        <s v="One-armed robber" u="1"/>
        <s v="OyasumiVR - VR Sleeping Utilities" u="1"/>
        <s v="Torchlight: Infinite" u="1"/>
        <s v="Trackmania" u="1"/>
        <s v="Unnamed Space Idle" u="1"/>
        <s v="VPet-Simulator" u="1"/>
        <s v="Amarillo's Butt Slapper" u="1"/>
        <s v="Astral Party" u="1"/>
        <s v="Banana" u="1"/>
        <s v="Dark and Darker" u="1"/>
        <s v="Delta Force" u="1"/>
        <s v="Enlisted" u="1"/>
        <s v="Farmer Against Potatoes Idle" u="1"/>
        <s v="Firestone – Idle Clicker Online RPG" u="1"/>
        <s v="Lust Goddess" u="1"/>
        <s v="Morimens" u="1"/>
        <s v="ONE PIECE Bounty Rush" u="1"/>
        <s v="Palia" u="1"/>
        <s v="Pixel Gun 3D: PC Edition" u="1"/>
        <s v="Predecessor" u="1"/>
        <s v="Reverse: 1999" u="1"/>
        <s v="Schedule I: Free Sample" u="1"/>
        <s v="Sky: Children of the Light" u="1"/>
        <s v="SMITE 2" u="1"/>
        <s v="Strinova" u="1"/>
        <s v="Summoners War" u="1"/>
        <s v="Supermarket Together" u="1"/>
        <s v="The First Descendant" u="1"/>
        <s v="Throne and Liberty" u="1"/>
        <s v="Arena Breakout: Infinite" u="1"/>
        <s v="Blood Strike" u="1"/>
        <s v="Blue Archive" u="1"/>
        <s v="Blue Protocol: Star Resonance" u="1"/>
        <s v="Bongo Cat" u="1"/>
        <s v="Desktop Mate" u="1"/>
        <s v="DRAGON BALL GEKISHIN SQUADRA" u="1"/>
        <s v="FragPunk" u="1"/>
        <s v="Game of Thrones: Kingsroad" u="1"/>
        <s v="GeoGuessr Steam Edition" u="1"/>
        <s v="IdleOn" u="1"/>
        <s v="Infinity Nikki" u="1"/>
        <s v="Mecha BREAK" u="1"/>
        <s v="Off The Grid" u="1"/>
        <s v="Persona5: The Phantom X" u="1"/>
        <s v="Revolution Idle" u="1"/>
        <s v="Shadowverse: Worlds Beyond" u="1"/>
        <s v="skate." u="1"/>
        <s v="StarSavior" u="1"/>
        <s v="The Perfect Tower II" u="1"/>
        <s v="Umamusume: Pretty Derby" u="1"/>
        <s v="Upload Labs" u="1"/>
        <s v="Where Winds Meet" u="1"/>
        <s v="World of Sea Battle" u="1"/>
        <s v="Wuthering Waves" u="1"/>
        <s v="ARC Raiders" u="1"/>
        <s v="Battlefield™ 6" u="1"/>
        <s v="Borderlands 4" u="1"/>
        <s v="Clair Obscur: Expedition 33" u="1"/>
        <s v="DELTARUNE" u="1"/>
        <s v="Dispatch" u="1"/>
        <s v="Dune: Awakening" u="1"/>
        <s v="ELDEN RING NIGHTREIGN" u="1"/>
        <s v="Escape the Backrooms" u="1"/>
        <s v="Grand Theft Auto V Enhanced" u="1"/>
        <s v="Hades II" u="1"/>
        <s v="Hollow Knight: Silksong" u="1"/>
        <s v="Kingdom Come: Deliverance II" u="1"/>
        <s v="Megabonk" u="1"/>
        <s v="Monster Hunter Wilds" u="1"/>
        <s v="My Summer Car" u="1"/>
        <s v="PEAK" u="1"/>
        <s v="R.E.P.O." u="1"/>
        <s v="Schedule I" u="1"/>
        <s v="SCUM" u="1"/>
        <s v="Split Fiction" u="1"/>
        <s v="The Elder Scrolls IV: Oblivion Remastered" u="1"/>
        <s v="7 Days to Die" u="1"/>
        <s v="Balatro" u="1"/>
        <s v="Black Myth: Wukong" u="1"/>
        <s v="Buckshot Roulette" u="1"/>
        <s v="Content Warning" u="1"/>
        <s v="Dragon's Dogma 2" u="1"/>
        <s v="Enshrouded" u="1"/>
        <s v="Ghost of Tsushima DIRECTOR'S CUT" u="1"/>
        <s v="Gray Zone Warfare" u="1"/>
        <s v="Last Epoch" u="1"/>
        <s v="Manor Lords" u="1"/>
        <s v="Path of Exile 2" u="1"/>
        <s v="S.T.A.L.K.E.R. 2: Heart of Chornobyl" u="1"/>
        <s v="Satisfactory" u="1"/>
        <s v="Sons Of The Forest" u="1"/>
        <s v="TEKKEN 8" u="1"/>
        <s v="The Outlast Trials" u="1"/>
        <s v="V Rising" u="1"/>
        <s v="Warhammer 40,000: Space Marine 2" u="1"/>
        <s v="Chivalry 2" u="1"/>
        <s v="Cult of the Lamb" u="1"/>
        <s v="Dying Light 2 Stay Human: Reloaded Edition" u="1"/>
        <s v="EA SPORTS™ FIFA 23" u="1"/>
        <s v="Foxhole" u="1"/>
        <s v="God of War" u="1"/>
        <s v="Grounded" u="1"/>
        <s v="HITMAN World of Assassination" u="1"/>
        <s v="LEGO® Star Wars™: The Skywalker Saga" u="1"/>
        <s v="Marvel’s Spider-Man Remastered" u="1"/>
        <s v="MONSTER HUNTER RISE" u="1"/>
        <s v="Mount &amp; Blade II: Bannerlord" u="1"/>
        <s v="Persona 5 Royal" u="1"/>
        <s v="PowerWash Simulator" u="1"/>
        <s v="Raft" u="1"/>
        <s v="Stray" u="1"/>
        <s v="Teardown" u="1"/>
        <s v="Total War: WARHAMMER III" u="1"/>
        <s v="Vampire Survivors" u="1"/>
        <s v="Victoria 3" u="1"/>
        <s v="Warhammer 40,000: Darktide" u="1"/>
        <s v="ARK: Survival Ascended" u="1"/>
        <s v="ARMORED CORE™ VI FIRES OF RUBICON™" u="1"/>
        <s v="Barotrauma" u="1"/>
        <s v="BattleBit Remastered" u="1"/>
        <s v="Cities: Skylines II" u="1"/>
        <s v="DAVE THE DIVER" u="1"/>
        <s v="Dead Space" u="1"/>
        <s v="DREDGE" u="1"/>
        <s v="EA SPORTS FC™ 24" u="1"/>
        <s v="Gorilla Tag" u="1"/>
        <s v="Hogwarts Legacy" u="1"/>
        <s v="Lies of P" u="1"/>
        <s v="PAYDAY 3" u="1"/>
        <s v="Ready or Not" u="1"/>
        <s v="REMNANT II®" u="1"/>
        <s v="Resident Evil 4" u="1"/>
        <s v="STAR WARS Jedi: Survivor™" u="1"/>
        <s v="Starfield" u="1"/>
        <s v="The Last of Us™ Part I" u="1"/>
        <s v="Age of Empires IV: Anniversary Edition" u="1"/>
        <s v="Back 4 Blood" u="1"/>
        <s v="Battlefield™ 2042" u="1"/>
        <s v="Cookie Clicker" u="1"/>
        <s v="Days Gone" u="1"/>
        <s v="FIFA 22" u="1"/>
        <s v="Forza Horizon 4" u="1"/>
        <s v="Forza Horizon 5" u="1"/>
        <s v="GTFO" u="1"/>
        <s v="GUILTY GEAR -STRIVE-" u="1"/>
        <s v="Gunfire Reborn" u="1"/>
        <s v="Hell Let Loose" u="1"/>
        <s v="ICARUS" u="1"/>
        <s v="Inscryption" u="1"/>
        <s v="It Takes Two" u="1"/>
        <s v="Mass Effect™ Legendary Edition" u="1"/>
        <s v="New World: Aeternum" u="1"/>
        <s v="Poppy Playtime" u="1"/>
        <s v="Resident Evil Village" u="1"/>
        <s v="Subnautica: Below Zero" u="1"/>
        <s v="Totally Accurate Battle Simulator" u="1"/>
        <s v="Borderlands 3" u="1"/>
        <s v="Crusader Kings III" u="1"/>
        <s v="Deep Rock Galactic" u="1"/>
        <s v="Detroit: Become Human" u="1"/>
        <s v="DOOM Eternal" u="1"/>
        <s v="Factorio" u="1"/>
        <s v="Fall Guys" u="1"/>
        <s v="Fallout 76" u="1"/>
        <s v="Grand Theft Auto IV: The Complete Edition" u="1"/>
        <s v="Hades" u="1"/>
        <s v="Half-Life: Alyx" u="1"/>
        <s v="Horizon Zero Dawn™ Complete Edition" u="1"/>
        <s v="Need for Speed™ Heat" u="1"/>
        <s v="Outer Wilds" u="1"/>
        <s v="Risk of Rain 2" u="1"/>
        <s v="Sea of Thieves: 2026 Edition" u="1"/>
        <s v="Squad" u="1"/>
        <s v="STAR WARS™ Battlefront™ II" u="1"/>
        <s v="Titanfall® 2" u="1"/>
        <s v="ULTRAKILL" u="1"/>
        <s v="ACE COMBAT™ 7: SKIES UNKNOWN" u="1"/>
        <s v="Age of Empires II: Definitive Edition" u="1"/>
        <s v="ASTRONEER" u="1"/>
        <s v="Devil May Cry 5" u="1"/>
        <s v="Disco Elysium - The Final Cut" u="1"/>
        <s v="Dota Underlords" u="1"/>
        <s v="Generation Zero®" u="1"/>
        <s v="Green Hell" u="1"/>
        <s v="Halo: The Master Chief Collection" u="1"/>
        <s v="Hunt: Showdown 1896" u="1"/>
        <s v="MORDHAU" u="1"/>
        <s v="Mortal Kombat 11" u="1"/>
        <s v="Muse Dash" u="1"/>
        <s v="MX Bikes" u="1"/>
        <s v="Oxygen Not Included" u="1"/>
        <s v="People Playground" u="1"/>
        <s v="Planet Zoo" u="1"/>
        <s v="Remnant: From the Ashes" u="1"/>
        <s v="Resident Evil 2" u="1"/>
        <s v="Sekiro™: Shadows Die Twice - GOTY Edition" u="1"/>
        <s v="Slay the Spire" u="1"/>
        <s v="Space Engineers" u="1"/>
        <s v="STAR WARS Jedi: Fallen Order™" u="1"/>
        <s v="Assassin's Creed® Odyssey" u="1"/>
        <s v="Celeste" u="1"/>
        <s v="Conan Exiles Enhanced" u="1"/>
        <s v="DARK SOULS™: REMASTERED" u="1"/>
        <s v="DayZ" u="1"/>
        <s v="Dead Cells" u="1"/>
        <s v="DRAGON BALL FighterZ" u="1"/>
        <s v="Far Cry® 5" u="1"/>
        <s v="Frostpunk" u="1"/>
        <s v="House Flipper" u="1"/>
        <s v="Insurgency: Sandstorm" u="1"/>
        <s v="Kenshi" u="1"/>
        <s v="Kingdom Come: Deliverance" u="1"/>
        <s v="Monster Hunter: World" u="1"/>
        <s v="RimWorld" u="1"/>
        <s v="Shadow of the Tomb Raider: Definitive Edition" u="1"/>
        <s v="Subnautica" u="1"/>
        <s v="The Crew™ 2" u="1"/>
        <s v="The Forest" u="1"/>
        <s v="Warhammer: Vermintide 2" u="1"/>
        <s v="Assassin's Creed® Origins" u="1"/>
        <s v="Black Desert" u="1"/>
        <s v="CarX Drift Racing Online" u="1"/>
        <s v="Cuphead" u="1"/>
        <s v="Divinity: Original Sin 2 - Definitive Edition" u="1"/>
        <s v="FOR HONOR™" u="1"/>
        <s v="Hollow Knight" u="1"/>
        <s v="Middle-earth™: Shadow of War™" u="1"/>
        <s v="NieR:Automata™" u="1"/>
        <s v="Resident Evil 7 Biohazard" u="1"/>
        <s v="Rising Storm 2: Vietnam" u="1"/>
        <s v="Slime Rancher" u="1"/>
        <s v="TEKKEN 7" u="1"/>
        <s v="The Elder Scrolls® Online" u="1"/>
        <s v="The Long Dark" u="1"/>
        <s v="theHunter: Call of the Wild™" u="1"/>
        <s v="Tom Clancy's Ghost Recon® Wildlands" u="1"/>
        <s v="Total War: WARHAMMER II" u="1"/>
        <s v="World of Warships" u="1"/>
        <s v="American Truck Simulator" u="1"/>
        <s v="DARK SOULS™ III" u="1"/>
        <s v="Darkest Dungeon®" u="1"/>
        <s v="Dishonored 2" u="1"/>
        <s v="Don't Starve Together" u="1"/>
        <s v="DOOM" u="1"/>
        <s v="Enter the Gungeon" u="1"/>
        <s v="Grim Dawn" u="1"/>
        <s v="Hearts of Iron IV" u="1"/>
        <s v="Human Fall Flat" u="1"/>
        <s v="Killing Floor 2" u="1"/>
        <s v="No Man's Sky" u="1"/>
        <s v="Plague Inc: Evolved" u="1"/>
        <s v="Planet Coaster" u="1"/>
        <s v="Rise of the Tomb Raider™" u="1"/>
        <s v="Scrap Mechanic" u="1"/>
        <s v="Sid Meier’s Civilization® VI" u="1"/>
        <s v="Starbound" u="1"/>
        <s v="Stellaris" u="1"/>
        <s v="The Elder Scrolls V: Skyrim Special Edition" u="1"/>
        <s v="Tom Clancy’s The Division™" u="1"/>
        <s v="Total War: WARHAMMER" u="1"/>
        <s v="XCOM® 2" u="1"/>
        <s v="AdVenture Capitalist" u="1"/>
        <s v="Blender" u="1"/>
        <s v="Life is Strange - Episode 1" u="1"/>
        <s v="SMITE®" u="1"/>
        <s v="Trove" u="1"/>
        <s v="Call of Duty®: Modern Warfare® 2 (2009)" u="1"/>
        <s v="Fallout 3: Game of the Year Edition" u="1"/>
        <s v="Plants vs. Zombies GOTY Edition" u="1"/>
        <s v="Resident Evil 5" u="1"/>
        <s v="Total War: EMPIRE – Definitive Edition" u="1"/>
        <s v="Counter-Strike: Condition Zero" u="1"/>
        <s v="Counter-Strike: Source" u="1"/>
        <s v="Half-Life 2" u="1"/>
        <s v="9 Kings" u="1"/>
        <s v="A Plague Tale: Innocence" u="1"/>
        <s v="A Total War Saga: THRONES OF BRITANNIA" u="1"/>
        <s v="Abiotic Factor" u="1"/>
        <s v="Across the Obelisk" u="1"/>
        <s v="Against the Storm" u="1"/>
        <s v="Age of Empires II (Retired)" u="1"/>
        <s v="Age of Empires III: Definitive Edition" u="1"/>
        <s v="Age of Mythology: Extended Edition" u="1"/>
        <s v="Age of Mythology: Retold" u="1"/>
        <s v="Age of Wonders 4" u="1"/>
        <s v="Ages of Conflict: World War Simulator" u="1"/>
        <s v="Albion Online" u="1"/>
        <s v="Alien: Isolation" u="1"/>
        <s v="Anno 117: Pax Romana" u="1"/>
        <s v="Anno 1800" u="1"/>
        <s v="Arma 3" u="1"/>
        <s v="Arma Reforger" u="1"/>
        <s v="Artifact" u="1"/>
        <s v="Aseprite" u="1"/>
        <s v="ASKA" u="1"/>
        <s v="Assassin’s Creed Shadows" u="1"/>
        <s v="Assassin’s Creed® IV Black Flag™" u="1"/>
        <s v="Assassin's Creed Valhalla" u="1"/>
        <s v="Assassin's Creed® Unity" u="1"/>
        <s v="Assetto Corsa" u="1"/>
        <s v="Assetto Corsa Competizione" u="1"/>
        <s v="Assetto Corsa EVO" u="1"/>
        <s v="Atomic Heart" u="1"/>
        <s v="Automobilista 2" u="1"/>
        <s v="Avatar: Frontiers of Pandora™" u="1"/>
        <s v="Avowed" u="1"/>
        <s v="Backpack Battles" u="1"/>
        <s v="Backrooms: Escape Together" u="1"/>
        <s v="Bacteria" u="1"/>
        <s v="BALL x PIT" u="1"/>
        <s v="Banished" u="1"/>
        <s v="Batman™: Arkham Origins" u="1"/>
        <s v="Battle Brothers" u="1"/>
        <s v="Battlefield 4™" u="1"/>
        <s v="Battlefield™ 1" u="1"/>
        <s v="Battlefield™ V" u="1"/>
        <s v="BATTLETECH" u="1"/>
        <s v="Bellwright" u="1"/>
        <s v="Besiege" u="1"/>
        <s v="BidKing" u="1"/>
        <s v="Big Ambitions" u="1"/>
        <s v="BioShock Infinite" u="1"/>
        <s v="Blasphemous" u="1"/>
        <s v="Blasphemous 2" u="1"/>
        <s v="BlazBlue Entropy Effect" u="1"/>
        <s v="BLEACH Brave Souls" u="1"/>
        <s v="Bloons TD Battles 2" u="1"/>
        <s v="Blue Prince" u="1"/>
        <s v="Bodycam" u="1"/>
        <s v="BONELAB" u="1"/>
        <s v="Borderlands Game of the Year Enhanced" u="1"/>
        <s v="Brick Rigs" u="1"/>
        <s v="Broken Arrow" u="1"/>
        <s v="Brotato" u="1"/>
        <s v="Burglin' Gnomes" u="1"/>
        <s v="Business Tour - Board Game with Online Multiplayer(大富翁)" u="1"/>
        <s v="Call of Duty: Black Ops II - Zombies" u="1"/>
        <s v="Call of Duty®: Black Ops" u="1"/>
        <s v="Call of Duty®: Black Ops 6" u="1"/>
        <s v="Call of Duty®: Modern Warfare®" u="1"/>
        <s v="Call of Duty®: Modern Warfare® 3 (2011)" u="1"/>
        <s v="Call of Duty®: Modern Warfare® II" u="1"/>
        <s v="Call of Duty®: Modern Warfare® III" u="1"/>
        <s v="Call to Arms - Gates of Hell: Ostfront" u="1"/>
        <s v="Captain of Industry" u="1"/>
        <s v="Car Mechanic Simulator 2018" u="1"/>
        <s v="Car Mechanic Simulator 2021" u="1"/>
        <s v="Cash Cleaner Simulator" u="1"/>
        <s v="Cat Mail Co." u="1"/>
        <s v="Catan Universe" u="1"/>
        <s v="Cats" u="1"/>
        <s v="Cell to Singularity - Evolution Never Ends" u="1"/>
        <s v="Chained Together" u="1"/>
        <s v="Chill with You : Lo-Fi Story" u="1"/>
        <s v="Civilization IV: Beyond the Sword" u="1"/>
        <s v="Clicker Heroes" u="1"/>
        <s v="CloverPit" u="1"/>
        <s v="CODE VEIN" u="1"/>
        <s v="Command &amp; Conquer Red Alert™ 2 and Yuri’s Revenge™" u="1"/>
        <s v="Command &amp; Conquer™ Generals Zero Hour" u="1"/>
        <s v="Command &amp; Conquer™ Remastered Collection" u="1"/>
        <s v="Company of Heroes" u="1"/>
        <s v="Company of Heroes 2" u="1"/>
        <s v="Company of Heroes 3" u="1"/>
        <s v="Conqueror's Blade" u="1"/>
        <s v="Construction Simulator" u="1"/>
        <s v="Coral Island" u="1"/>
        <s v="Core Keeper" u="1"/>
        <s v="Cosmoteer: Starship Architect &amp; Commander" u="1"/>
        <s v="Cossacks 3" u="1"/>
        <s v="Counter-Strike" u="1"/>
        <s v="Crime Scene Cleaner" u="1"/>
        <s v="Crosshair X" u="1"/>
        <s v="Crossout" u="1"/>
        <s v="Cube Racer" u="1"/>
        <s v="Danganronpa: Trigger Happy Havoc" u="1"/>
        <s v="Darkest Dungeon® II" u="1"/>
        <s v="Date Everything!" u="1"/>
        <s v="Dawn of Man" u="1"/>
        <s v="DDNet" u="1"/>
        <s v="Dead Frontier 2" u="1"/>
        <s v="Dead Island 2" u="1"/>
        <s v="DEATH STRANDING 2: ON THE BEACH" u="1"/>
        <s v="DEATH STRANDING DIRECTOR'S CUT" u="1"/>
        <s v="Deep Rock Galactic: Rogue Core" u="1"/>
        <s v="Deep Rock Galactic: Survivor" u="1"/>
        <s v="DELTARUNE Demo" u="1"/>
        <s v="Destiny of Immortal" u="1"/>
        <s v="Devil May Cry HD Collection" u="1"/>
        <s v="DEVOUR" u="1"/>
        <s v="Diablo II: Resurrected – Infernal Edition" u="1"/>
        <s v="Diablo® IV" u="1"/>
        <s v="Digimon Story Time Stranger" u="1"/>
        <s v="Dinkum" u="1"/>
        <s v="Disney Dreamlight Valley" u="1"/>
        <s v="Distant Space" u="1"/>
        <s v="Don't Starve" u="1"/>
        <s v="DOOM: The Dark Ages" u="1"/>
        <s v="Dragon Age™: The Veilguard" u="1"/>
        <s v="DRAGON BALL XENOVERSE 2" u="1"/>
        <s v="DRAGON BALL Z: KAKAROT" u="1"/>
        <s v="DRAGON BALL: Sparking! ZERO" u="1"/>
        <s v="Dragon's Dogma: Dark Arisen" u="1"/>
        <s v="Draw &amp; Guess" u="1"/>
        <s v="Dread Hunger" u="1"/>
        <s v="Drive Beyond Horizons" u="1"/>
        <s v="DSX" u="1"/>
        <s v="Dungeon Crusher: Soul Hunters" u="1"/>
        <s v="Dungeon Defenders" u="1"/>
        <s v="Dungeon Defenders II" u="1"/>
        <s v="Dwarf Fortress" u="1"/>
        <s v="Dying Light: The Beast" u="1"/>
        <s v="DYNASTY WARRIORS: ORIGINS" u="1"/>
        <s v="Dyson Sphere Program" u="1"/>
        <s v="EA SPORTS FC™ 25" u="1"/>
        <s v="EA SPORTS FC™ 26" u="1"/>
        <s v="EA SPORTS™ College Football 27" u="1"/>
        <s v="EARTH DEFENSE FORCE 6" u="1"/>
        <s v="Easy Red 2" u="1"/>
        <s v="Echoes of Aincrad" u="1"/>
        <s v="eFootball PES 2021 SEASON UPDATE" u="1"/>
        <s v="eFootball™" u="1"/>
        <s v="Elin" u="1"/>
        <s v="Empyrion - Galactic Survival" u="1"/>
        <s v="ENDLESS Space™ 2" u="1"/>
        <s v="Energy Cycle" u="1"/>
        <s v="Escape From Duckov" u="1"/>
        <s v="Escape from Tarkov" u="1"/>
        <s v="Esports Manager 2026" u="1"/>
        <s v="Europa Universalis IV" u="1"/>
        <s v="Europa Universalis V" u="1"/>
        <s v="Everwind" u="1"/>
        <s v="Everything is Crab: The Animal Evolution Roguelite" u="1"/>
        <s v="F1® 24" u="1"/>
        <s v="F1® 25" u="1"/>
        <s v="F1® Manager 2024" u="1"/>
        <s v="Fallout Shelter" u="1"/>
        <s v="Fallout: New Vegas" u="1"/>
        <s v="FANTASY LIFE i: The Girl Who Steals Time" u="1"/>
        <s v="Far Cry® 4" u="1"/>
        <s v="Far Cry® 6" u="1"/>
        <s v="Far Cry® New Dawn" u="1"/>
        <s v="Far Cry® Primal" u="1"/>
        <s v="Farever" u="1"/>
        <s v="Farm Together 2" u="1"/>
        <s v="Farming Simulator 17" u="1"/>
        <s v="Farming Simulator 19" u="1"/>
        <s v="Farming Simulator 22" u="1"/>
        <s v="Farming Simulator 25" u="1"/>
        <s v="Farthest Frontier" u="1"/>
        <s v="Feed the Cups" u="1"/>
        <s v="Fellowship" u="1"/>
        <s v="Fields of Mistria" u="1"/>
        <s v="FINAL FANTASY TACTICS - The Ivalice Chronicles" u="1"/>
        <s v="FINAL FANTASY VII REBIRTH" u="1"/>
        <s v="FINAL FANTASY VII REMAKE INTERGRADE" u="1"/>
        <s v="FINAL FANTASY X/X-2 HD Remaster" u="1"/>
        <s v="FINAL FANTASY XIV Online" u="1"/>
        <s v="FINAL FANTASY XIV Online Free Trial" u="1"/>
        <s v="FINAL FANTASY XV WINDOWS EDITION" u="1"/>
        <s v="FINAL FANTASY XVI" u="1"/>
        <s v="Fish Idle 2: Underwater Mystery" u="1"/>
        <s v="Fishing Planet" u="1"/>
        <s v="FiveM" u="1"/>
        <s v="Football Manager 2017" u="1"/>
        <s v="Football Manager 2019" u="1"/>
        <s v="Football Manager 2020" u="1"/>
        <s v="Football Manager 2021" u="1"/>
        <s v="Football Manager 2022" u="1"/>
        <s v="Football Manager 2023" u="1"/>
        <s v="Football Manager 2024" u="1"/>
        <s v="Football Manager 26" u="1"/>
        <s v="For The King II" u="1"/>
        <s v="Forager" u="1"/>
        <s v="Fortune Mill" u="1"/>
        <s v="Foundation" u="1"/>
        <s v="Frostpunk 2" u="1"/>
        <s v="Funnel Runners" u="1"/>
        <s v="Gears 5" u="1"/>
        <s v="Gems of War - Puzzle RPG" u="1"/>
        <s v="Ghostwire: Tokyo" u="1"/>
        <s v="God of War Ragnarök" u="1"/>
        <s v="Godot Engine" u="1"/>
        <s v="gogh: Focus with Your Avatar" u="1"/>
        <s v="Go-Go Town!" u="1"/>
        <s v="Golf With Your Friends" u="1"/>
        <s v="Goose Goose Duck" u="1"/>
        <s v="Gothic II: Gold Edition" u="1"/>
        <s v="Granado Espada" u="1"/>
        <s v="Granblue Fantasy: Relink" u="1"/>
        <s v="Grand Theft Auto: San Andreas – The Definitive Edition" u="1"/>
        <s v="GrandChase" u="1"/>
        <s v="Graveyard Keeper" u="1"/>
        <s v="Grounded 2" u="1"/>
        <s v="Half-Life" u="1"/>
        <s v="Halls of Torment" u="1"/>
        <s v="Hero Siege" u="1"/>
        <s v="Heroes of Hammerwatch II" u="1"/>
        <s v="Heroes of Might and Magic: Olden Era" u="1"/>
        <s v="Heroes® of Might &amp; Magic® III - HD Edition" u="1"/>
        <s v="Hero's Adventure: Road to Passion" u="1"/>
        <s v="High On Life" u="1"/>
        <s v="Holdfast: Nations At War" u="1"/>
        <s v="Horizon Forbidden West™ Complete Edition" u="1"/>
        <s v="House Flipper 2" u="1"/>
        <s v="HudSight - crosshair overlay" u="1"/>
        <s v="HumanitZ" u="1"/>
        <s v="HUMANKIND™" u="1"/>
        <s v="Idle Champions of the Forgotten Realms" u="1"/>
        <s v="Idle Hero TD - Tower Defense" u="1"/>
        <s v="Idle Slayer" u="1"/>
        <s v="Idling to Rule the Gods" u="1"/>
        <s v="Imperator: Rome" u="1"/>
        <s v="INAZUMA ELEVEN: Victory Road" u="1"/>
        <s v="Indiana Jones and the Great Circle" u="1"/>
        <s v="Infection Free Zone" u="1"/>
        <s v="Inside the Backrooms" u="1"/>
        <s v="inZOI" u="1"/>
        <s v="Jagged Alliance 3" u="1"/>
        <s v="Jump Space" u="1"/>
        <s v="Jurassic World Evolution 2" u="1"/>
        <s v="Jurassic World Evolution 3" u="1"/>
        <s v="KARDS - The WW2 Card Game" u="1"/>
        <s v="Kathana" u="1"/>
        <s v="Killing Floor 3" u="1"/>
        <s v="KINGDOM HEARTS -HD 1.5+2.5 ReMIX-" u="1"/>
        <s v="Kingdom Two Crowns" u="1"/>
        <s v="Knight Online" u="1"/>
        <s v="KovaaK's" u="1"/>
        <s v="Krita" u="1"/>
        <s v="Le Mans Ultimate" u="1"/>
        <s v="Leaf it Alone" u="1"/>
        <s v="Legend of Heroes: Three Kingdoms" u="1"/>
        <s v="Legend of Mortal" u="1"/>
        <s v="Legion TD 2 - Multiplayer Tower Defense" u="1"/>
        <s v="LEGO® Batman™: Legacy of the Dark Knight" u="1"/>
        <s v="Liar's Bar" u="1"/>
        <s v="Library Of Ruina" u="1"/>
        <s v="Life is Strange 2" u="1"/>
        <s v="Like a Dragon: Infinite Wealth" u="1"/>
        <s v="Little Nightmares III" u="1"/>
        <s v="Live Wallpaper" u="1"/>
        <s v="Lobotomy Corporation | Monster Management Simulation" u="1"/>
        <s v="Lords of the Fallen" u="1"/>
        <s v="Lossless Scaling" u="1"/>
        <s v="Lost Castle 2" u="1"/>
        <s v="Luma Island" u="1"/>
        <s v="Mafia III: Definitive Edition" u="1"/>
        <s v="Mafia: Definitive Edition" u="1"/>
        <s v="Mafia: The Old Country" u="1"/>
        <s v="Magicraft" u="1"/>
        <s v="Marvel’s Spider-Man: Miles Morales" u="1"/>
        <s v="Marvel's Midnight Suns" u="1"/>
        <s v="Marvel's Spider-Man 2" u="1"/>
        <s v="Mechabellum" u="1"/>
        <s v="MechWarrior 5: Mercenaries" u="1"/>
        <s v="Medieval Dynasty" u="1"/>
        <s v="Megastore Simulator" u="1"/>
        <s v="Melvor Idle" u="1"/>
        <s v="MENACE" u="1"/>
        <s v="METAL GEAR RISING: REVENGEANCE" u="1"/>
        <s v="Metaphor: ReFantazio" u="1"/>
        <s v="Metro 2033 Redux" u="1"/>
        <s v="Metro Exodus" u="1"/>
        <s v="Metro: Last Light Redux" u="1"/>
        <s v="Microsoft Flight Simulator (2020) 40th Anniversary Edition" u="1"/>
        <s v="Microsoft Flight Simulator 2024" u="1"/>
        <s v="Middle-earth™: Shadow of Mordor™" u="1"/>
        <s v="Mina the Hollower" u="1"/>
        <s v="Mindustry" u="1"/>
        <s v="Mini Cozy Room: Lo-Fi" u="1"/>
        <s v="MIR4" u="1"/>
        <s v="MISERY" u="1"/>
        <s v="MiSide" u="1"/>
        <s v="Monster Hunter Stories 3: Twisted Reflection" u="1"/>
        <s v="Monster Train 2" u="1"/>
        <s v="Moonlight Peaks" u="1"/>
        <s v="Mortal Kombat 1" u="1"/>
        <s v="Mortal Online 2" u="1"/>
        <s v="Motor Town: Behind The Wheel" u="1"/>
        <s v="Mount &amp; Blade: Warband" u="1"/>
        <s v="MOUSE: P.I. For Hire" u="1"/>
        <s v="MU: Dark Epoch" u="1"/>
        <s v="My Singing Monsters" u="1"/>
        <s v="My Time at Portia" u="1"/>
        <s v="My Time at Sandrock" u="1"/>
        <s v="My Winter Car" u="1"/>
        <s v="MyDockFinder" u="1"/>
        <s v="Mystina : Remaster Online" u="1"/>
        <s v="Myth of Empires" u="1"/>
        <s v="NARAKA: BLADEPOINT" u="1"/>
        <s v="NBA 2K25" u="1"/>
        <s v="NBA 2K26" u="1"/>
        <s v="Necesse" u="1"/>
        <s v="Need for Speed™ Unbound" u="1"/>
        <s v="Neverwinter" u="1"/>
        <s v="NGU IDLE" u="1"/>
        <s v="Nine Sols" u="1"/>
        <s v="Nioh 2 – The Complete Edition" u="1"/>
        <s v="Nioh 3" u="1"/>
        <s v="No More Room in Hell" u="1"/>
        <s v="No Rest for the Wicked" u="1"/>
        <s v="NOBUNAGA'S AMBITION: Awakening" u="1"/>
        <s v="Noita" u="1"/>
        <s v="Norland" u="1"/>
        <s v="Northgard: Definitive Edition" u="1"/>
        <s v="Oaken Tower" u="1"/>
        <s v="OCTOPATH TRAVELER 0" u="1"/>
        <s v="OCTOPATH TRAVELER II" u="1"/>
        <s v="Old School RuneScape" u="1"/>
        <s v="OMSI 2: Steam Edition" u="1"/>
        <s v="OPERATOR" u="1"/>
        <s v="Orb of Creation" u="1"/>
        <s v="Ore Factory Squad ⛏️" u="1"/>
        <s v="Ori and the Will of the Wisps" u="1"/>
        <s v="Out of the Park Baseball 27" u="1"/>
        <s v="Outlast" u="1"/>
        <s v="Outward Definitive Edition" u="1"/>
        <s v="Overcooked! 2" u="1"/>
        <s v="OVR Advanced Settings" u="1"/>
        <s v="OVR Toolkit - Desktop Overlay" u="1"/>
        <s v="Pacific Drive" u="1"/>
        <s v="Parcel Simulator" u="1"/>
        <s v="Party Animals" u="1"/>
        <s v="Pathfinder: Kingmaker — Enhanced Plus Edition" u="1"/>
        <s v="Pathfinder: Wrath of the Righteous - Enhanced Edition" u="1"/>
        <s v="Pathogenic" u="1"/>
        <s v="Pax Dei" u="1"/>
        <s v="Persona 3 Reload" u="1"/>
        <s v="Persona 4 Golden" u="1"/>
        <s v="PGA TOUR 2K25" u="1"/>
        <s v="Phantasy Star Online 2 New Genesis" u="1"/>
        <s v="Pillars of Eternity II: Deadfire" u="1"/>
        <s v="Pixel Worlds: MMO Sandbox" u="1"/>
        <s v="Planet Coaster 2" u="1"/>
        <s v="Plants vs. Zombies™ Garden Warfare 2: Deluxe Edition" u="1"/>
        <s v="PlateUp!" u="1"/>
        <s v="Play Together" u="1"/>
        <s v="Portal" u="1"/>
        <s v="Portal 2" u="1"/>
        <s v="Potion Craft: Alchemist Simulator" u="1"/>
        <s v="PowerWash Simulator 2" u="1"/>
        <s v="Pratfall" u="1"/>
        <s v="Prey" u="1"/>
        <s v="Pro Cycling Manager 26" u="1"/>
        <s v="Pro Soccer Online" u="1"/>
        <s v="Project Zomboid" u="1"/>
        <s v="Pummel Party" u="1"/>
        <s v="Quarantine Zone: The Last Check" u="1"/>
        <s v="RACCOIN: Coin Pusher Roguelike" u="1"/>
        <s v="RAID: Shadow Legends" u="1"/>
        <s v="Rain World" u="1"/>
        <s v="Ranch Simulator: Build, Hunt, Farm" u="1"/>
        <s v="Ravenswatch" u="1"/>
        <s v="Red Dead Online" u="1"/>
        <s v="Red Dead Redemption" u="1"/>
        <s v="RedM" u="1"/>
        <s v="REMATCH" u="1"/>
        <s v="Resident Evil 3" u="1"/>
        <s v="Resident Evil 6" u="1"/>
        <s v="Retro Rewind - Video Store Simulator" u="1"/>
        <s v="RISK: Global Domination" u="1"/>
        <s v="Rivals of Aether II" u="1"/>
        <s v="Road to Empress Ⅱ" u="1"/>
        <s v="Road to Empress I" u="1"/>
        <s v="RoadCraft" u="1"/>
        <s v="ROMANCE OF THE THREE KINGDOMS XIV" u="1"/>
        <s v="Romestead" u="1"/>
        <s v="RuneScape ®" u="1"/>
        <s v="RuneScape: Dragonwilds" u="1"/>
        <s v="Russian Fishing 4" u="1"/>
        <s v="Rusty's Retirement" u="1"/>
        <s v="RV There Yet?" u="1"/>
        <s v="s&amp;box" u="1"/>
        <s v="SAND: Raiders of Sophie" u="1"/>
        <s v="Satisfactory Modeler" u="1"/>
        <s v="Scritchy Scratchy" u="1"/>
        <s v="Sea Power : Naval Combat in the Missile Age" u="1"/>
        <s v="Shakes and Fidget" u="1"/>
        <s v="Shape of Dreams" u="1"/>
        <s v="ShareX" u="1"/>
        <s v="Shin Megami Tensei V: Vengeance" u="1"/>
        <s v="Shop Titans" u="1"/>
        <s v="Sid Meier's Civilization VII" u="1"/>
        <s v="Sid Meier's Civilization® III Complete" u="1"/>
        <s v="Sid Meier's Civilization® V" u="1"/>
        <s v="Sid Meier's Civilization®: Beyond Earth™" u="1"/>
        <s v="SIGame" u="1"/>
        <s v="SILENT HILL 2" u="1"/>
        <s v="SILENT HILL f" u="1"/>
        <s v="Sins of a Solar Empire II" u="1"/>
        <s v="Slime Rancher 2" u="1"/>
        <s v="Smalland: Survive the Wilds" u="1"/>
        <s v="Sniper Elite 4" u="1"/>
        <s v="Sniper Elite 5" u="1"/>
        <s v="SnowRunner" u="1"/>
        <s v="Soccer Manager 2026" u="1"/>
        <s v="Solarpunk™" u="1"/>
        <s v="Solo Leveling: ARISE OVERDRIVE" u="1"/>
        <s v="Songs of Syx" u="1"/>
        <s v="Sonic Racing: CrossWorlds" u="1"/>
        <s v="Soulmask" u="1"/>
        <s v="Soulstone Survivors" u="1"/>
        <s v="Soundpad" u="1"/>
        <s v="Soundpad Demo" u="1"/>
        <s v="South Park™: The Fractured But Whole™" u="1"/>
        <s v="South Park™: The Stick of Truth™" u="1"/>
        <s v="Space Engineers 2" u="1"/>
        <s v="Space Station 14 Playtest" u="1"/>
        <s v="SpaceCraft" u="1"/>
        <s v="Spirit City: Lofi Sessions" u="1"/>
        <s v="Spiritfarer®: Farewell Edition" u="1"/>
        <s v="SpiritVale" u="1"/>
        <s v="STAR WARS™ Empire at War - Gold Pack" u="1"/>
        <s v="STAR WARS™: The Old Republic™" u="1"/>
        <s v="StarRupture" u="1"/>
        <s v="State of Decay 2: Juggernaut Edition" u="1"/>
        <s v="Stay Out" u="1"/>
        <s v="Stellar Blade™" u="1"/>
        <s v="Stoneshard" u="1"/>
        <s v="Stormworks: Build and Rescue" u="1"/>
        <s v="Stream Avatars" u="1"/>
        <s v="Street Fighter™ 6" u="1"/>
        <s v="Stronghold Crusader: Definitive Edition" u="1"/>
        <s v="Stumble Guys" u="1"/>
        <s v="SULFUR" u="1"/>
        <s v="Sultan's Game" u="1"/>
        <s v="Sun Haven" u="1"/>
        <s v="Sunkenland" u="1"/>
        <s v="Super Auto Pets" u="1"/>
        <s v="Super Battle Golf" u="1"/>
        <s v="Super Fantasy Kingdom" u="1"/>
        <s v="Supermarket Chaos" u="1"/>
        <s v="Supermarket Simulator" u="1"/>
        <s v="Supreme Commander: Forged Alliance" u="1"/>
        <s v="SurrounDead" u="1"/>
        <s v="Tainted Grail: The Fall of Avalon" u="1"/>
        <s v="Tap Tap Loot" u="1"/>
        <s v="TCG Card Shop Simulator" u="1"/>
        <s v="The Alters" u="1"/>
        <s v="The Bazaar" u="1"/>
        <s v="The Binding of Isaac" u="1"/>
        <s v="The Binding of Isaac: Rebirth" u="1"/>
        <s v="The Crew Motorfest" u="1"/>
        <s v="The Elder Scrolls V: Skyrim" u="1"/>
        <s v="The First Berserker: Khazan" u="1"/>
        <s v="The Forever Winter" u="1"/>
        <s v="The Incident at Galley House" u="1"/>
        <s v="The King is Watching" u="1"/>
        <s v="The Last Caretaker" u="1"/>
        <s v="The Last of Us™ Part II Remastered" u="1"/>
        <s v="The Life and Suffering of Prince Jerian" u="1"/>
        <s v="The Life and Suffering of Sir Brante" u="1"/>
        <s v="The Mound: Omen of Cthulhu" u="1"/>
        <s v="The NOexistenceN of Lilith" u="1"/>
        <s v="The Outer Worlds 2" u="1"/>
        <s v="The Planet Crafter" u="1"/>
        <s v="The Quinfall" u="1"/>
        <s v="The Riftbreaker" u="1"/>
        <s v="The Scroll of Taiwu : Beyond The Dome" u="1"/>
        <s v="The Sims™ 2 Legacy Collection" u="1"/>
        <s v="The Sims™ 3" u="1"/>
        <s v="The Spell Brigade" u="1"/>
        <s v="The Texas Chain Saw Massacre" u="1"/>
        <s v="The Walking Dead: The Telltale Definitive Series" u="1"/>
        <s v="They Are Billions" u="1"/>
        <s v="Time Mysteries 2: The Ancient Spectres" u="1"/>
        <s v="Tiny Pasture" u="1"/>
        <s v="Tiny Tina's Wonderlands" u="1"/>
        <s v="Titan Quest Anniversary Edition" u="1"/>
        <s v="Titan Quest II" u="1"/>
        <s v="Tom Clancy’s The Division® 2" u="1"/>
        <s v="Tom Clancy's Ghost Recon® Breakpoint" u="1"/>
        <s v="Tomb Raider Game of the Year" u="1"/>
        <s v="Total War: MEDIEVAL II – Definitive Edition" u="1"/>
        <s v="Total War: NAPOLEON – Definitive Edition" u="1"/>
        <s v="Total War: ROME II - Emperor Edition" u="1"/>
        <s v="Total War: ROME REMASTERED" u="1"/>
        <s v="Total War: SHOGUN 2" u="1"/>
        <s v="Total War: THREE KINGDOMS" u="1"/>
        <s v="Trailmakers" u="1"/>
        <s v="Train Sim World® 6" u="1"/>
        <s v="Transformice" u="1"/>
        <s v="Transport Fever 2" u="1"/>
        <s v="Tropico 6" u="1"/>
        <s v="Two Point Hospital" u="1"/>
        <s v="Two Point Museum" u="1"/>
        <s v="UBOAT" u="1"/>
        <s v="Ultimate Chicken Horse" u="1"/>
        <s v="UNCHARTED™: Legacy of Thieves Collection" u="1"/>
        <s v="Vampire Crawlers: The Turbo Wildcard from Vampire Survivors" u="1"/>
        <s v="VEIN" u="1"/>
        <s v="VTube Studio" u="1"/>
        <s v="Wallpaper Play" u="1"/>
        <s v="Wandering Sword" u="1"/>
        <s v="War Robots" u="1"/>
        <s v="Warborne Above Ashes" u="1"/>
        <s v="Warhammer 40,000: Chaos Gate - Daemonhunters" u="1"/>
        <s v="Warhammer 40,000: Dawn of War - Definitive Edition" u="1"/>
        <s v="Warhammer 40,000: Dawn of War II: Retribution" u="1"/>
        <s v="Warhammer 40,000: Gladius - Relics of War" u="1"/>
        <s v="Warhammer 40,000: Rogue Trader" u="1"/>
        <s v="WARNO" u="1"/>
        <s v="Wartales" u="1"/>
        <s v="Wasteland 3" u="1"/>
        <s v="Watch_Dogs® 2" u="1"/>
        <s v="Watch_Dogs™" u="1"/>
        <s v="Wayfinder" u="1"/>
        <s v="White Knuckle" u="1"/>
        <s v="Winter Memories" u="1"/>
        <s v="Witchfire" u="1"/>
        <s v="With Your Coworker" u="1"/>
        <s v="Wobbly Life" u="1"/>
        <s v="Wolfenstein II: The New Colossus" u="1"/>
        <s v="Wolfenstein: The New Order" u="1"/>
        <s v="Workers &amp; Resources: Soviet Republic" u="1"/>
        <s v="World of Tanks" u="1"/>
        <s v="World of Tanks Blitz" u="1"/>
        <s v="World War Z" u="1"/>
        <s v="WorldBox - God Simulator" u="1"/>
        <s v="Wreckfest" u="1"/>
        <s v="WUCHANG: Fallen Feathers" u="1"/>
        <s v="X4: Foundations" u="1"/>
        <s v="X-Plane 12" u="1"/>
        <s v="XSOverlay" u="1"/>
        <s v="YAPYAP" u="1"/>
        <s v="YoloMouse - Cursor Changer" u="1"/>
        <s v="Your Chronicle" u="1"/>
        <s v="Yu-Gi-Oh! Duel Links" u="1"/>
        <s v="ZeroSpace" u="1"/>
        <s v="小黑盒加速器" u="1"/>
        <s v="觅长生" u="1"/>
        <s v="鬼谷八荒 Tale of Immortal" u="1"/>
        <s v="龙胤立志传" u="1"/>
      </sharedItems>
    </cacheField>
    <cacheField name="[Measures].[Positive Review Percentage]" caption="Positive Review Percentage" numFmtId="0" hierarchy="27" level="32767"/>
    <cacheField name="[Measures].[Negative Review Percentage]" caption="Negative Review Percentage" numFmtId="0" hierarchy="28" level="32767"/>
    <cacheField name="[steam_app_database].[free_or_paid].[free_or_paid]" caption="free_or_paid" numFmtId="0" hierarchy="23" level="1">
      <sharedItems containsSemiMixedTypes="0" containsNonDate="0" containsString="0"/>
    </cacheField>
  </cacheFields>
  <cacheHierarchies count="45">
    <cacheHierarchy uniqueName="[release_calendar].[Date]" caption="Date" attribute="1" time="1" keyAttribute="1" defaultMemberUniqueName="[release_calendar].[Date].[All]" allUniqueName="[release_calendar].[Date].[All]" dimensionUniqueName="[release_calendar]" displayFolder="" count="2" memberValueDatatype="7" unbalanced="0"/>
    <cacheHierarchy uniqueName="[release_calendar].[Date Hierarchy]" caption="Date Hierarchy" time="1" defaultMemberUniqueName="[release_calendar].[Date Hierarchy].[All]" allUniqueName="[release_calendar].[Date Hierarchy].[All]" dimensionUniqueName="[release_calendar]" displayFolder="" count="0" unbalanced="0"/>
    <cacheHierarchy uniqueName="[release_calendar].[Year]" caption="Year" attribute="1" time="1" defaultMemberUniqueName="[release_calendar].[Year].[All]" allUniqueName="[release_calendar].[Year].[All]" dimensionUniqueName="[release_calendar]" displayFolder="" count="0" memberValueDatatype="20" unbalanced="0"/>
    <cacheHierarchy uniqueName="[release_calendar].[Month Number]" caption="Month Number" attribute="1" time="1" defaultMemberUniqueName="[release_calendar].[Month Number].[All]" allUniqueName="[release_calendar].[Month Number].[All]" dimensionUniqueName="[release_calendar]" displayFolder="" count="0" memberValueDatatype="20" unbalanced="0"/>
    <cacheHierarchy uniqueName="[release_calendar].[Month]" caption="Month" attribute="1" time="1" defaultMemberUniqueName="[release_calendar].[Month].[All]" allUniqueName="[release_calendar].[Month].[All]" dimensionUniqueName="[release_calendar]" displayFolder="" count="0" memberValueDatatype="130" unbalanced="0"/>
    <cacheHierarchy uniqueName="[release_calendar].[MMM-YYYY]" caption="MMM-YYYY" attribute="1" time="1" defaultMemberUniqueName="[release_calendar].[MMM-YYYY].[All]" allUniqueName="[release_calendar].[MMM-YYYY].[All]" dimensionUniqueName="[release_calendar]" displayFolder="" count="0" memberValueDatatype="130" unbalanced="0"/>
    <cacheHierarchy uniqueName="[release_calendar].[Day Of Week Number]" caption="Day Of Week Number" attribute="1" time="1" defaultMemberUniqueName="[release_calendar].[Day Of Week Number].[All]" allUniqueName="[release_calendar].[Day Of Week Number].[All]" dimensionUniqueName="[release_calendar]" displayFolder="" count="0" memberValueDatatype="20" unbalanced="0"/>
    <cacheHierarchy uniqueName="[release_calendar].[Day Of Week]" caption="Day Of Week" attribute="1" time="1" defaultMemberUniqueName="[release_calendar].[Day Of Week].[All]" allUniqueName="[release_calendar].[Day Of Week].[All]" dimensionUniqueName="[release_calendar]" displayFolder="" count="0" memberValueDatatype="130" unbalanced="0"/>
    <cacheHierarchy uniqueName="[steam_app_database].[appid]" caption="appid" attribute="1" defaultMemberUniqueName="[steam_app_database].[appid].[All]" allUniqueName="[steam_app_database].[appid].[All]" dimensionUniqueName="[steam_app_database]" displayFolder="" count="0" memberValueDatatype="130" unbalanced="0"/>
    <cacheHierarchy uniqueName="[steam_app_database].[name]" caption="name" attribute="1" defaultMemberUniqueName="[steam_app_database].[name].[All]" allUniqueName="[steam_app_database].[name].[All]" dimensionUniqueName="[steam_app_database]" displayFolder="" count="2" memberValueDatatype="130" unbalanced="0">
      <fieldsUsage count="2">
        <fieldUsage x="-1"/>
        <fieldUsage x="0"/>
      </fieldsUsage>
    </cacheHierarchy>
    <cacheHierarchy uniqueName="[steam_app_database].[releasedate]" caption="releasedate" attribute="1" time="1" defaultMemberUniqueName="[steam_app_database].[releasedate].[All]" allUniqueName="[steam_app_database].[releasedate].[All]" dimensionUniqueName="[steam_app_database]" displayFolder="" count="0" memberValueDatatype="7" unbalanced="0"/>
    <cacheHierarchy uniqueName="[steam_app_database].[is_free]" caption="is_free" attribute="1" defaultMemberUniqueName="[steam_app_database].[is_free].[All]" allUniqueName="[steam_app_database].[is_free].[All]" dimensionUniqueName="[steam_app_database]" displayFolder="" count="0" memberValueDatatype="130" unbalanced="0"/>
    <cacheHierarchy uniqueName="[steam_app_database].[price_usd]" caption="price_usd" attribute="1" defaultMemberUniqueName="[steam_app_database].[price_usd].[All]" allUniqueName="[steam_app_database].[price_usd].[All]" dimensionUniqueName="[steam_app_database]" displayFolder="" count="0" memberValueDatatype="5" unbalanced="0"/>
    <cacheHierarchy uniqueName="[steam_app_database].[genre]" caption="genre" attribute="1" defaultMemberUniqueName="[steam_app_database].[genre].[All]" allUniqueName="[steam_app_database].[genre].[All]" dimensionUniqueName="[steam_app_database]" displayFolder="" count="0" memberValueDatatype="130" unbalanced="0"/>
    <cacheHierarchy uniqueName="[steam_app_database].[achievement_count]" caption="achievement_count" attribute="1" defaultMemberUniqueName="[steam_app_database].[achievement_count].[All]" allUniqueName="[steam_app_database].[achievement_count].[All]" dimensionUniqueName="[steam_app_database]" displayFolder="" count="0" memberValueDatatype="20" unbalanced="0"/>
    <cacheHierarchy uniqueName="[steam_app_database].[developer]" caption="developer" attribute="1" defaultMemberUniqueName="[steam_app_database].[developer].[All]" allUniqueName="[steam_app_database].[developer].[All]" dimensionUniqueName="[steam_app_database]" displayFolder="" count="0" memberValueDatatype="130" unbalanced="0"/>
    <cacheHierarchy uniqueName="[steam_app_database].[publisher]" caption="publisher" attribute="1" defaultMemberUniqueName="[steam_app_database].[publisher].[All]" allUniqueName="[steam_app_database].[publisher].[All]" dimensionUniqueName="[steam_app_database]" displayFolder="" count="0" memberValueDatatype="130" unbalanced="0"/>
    <cacheHierarchy uniqueName="[steam_app_database].[player_count]" caption="player_count" attribute="1" defaultMemberUniqueName="[steam_app_database].[player_count].[All]" allUniqueName="[steam_app_database].[player_count].[All]" dimensionUniqueName="[steam_app_database]" displayFolder="" count="0" memberValueDatatype="20" unbalanced="0"/>
    <cacheHierarchy uniqueName="[steam_app_database].[review_score]" caption="review_score" attribute="1" defaultMemberUniqueName="[steam_app_database].[review_score].[All]" allUniqueName="[steam_app_database].[review_score].[All]" dimensionUniqueName="[steam_app_database]" displayFolder="" count="0" memberValueDatatype="20" unbalanced="0"/>
    <cacheHierarchy uniqueName="[steam_app_database].[review_score_desc]" caption="review_score_desc" attribute="1" defaultMemberUniqueName="[steam_app_database].[review_score_desc].[All]" allUniqueName="[steam_app_database].[review_score_desc].[All]" dimensionUniqueName="[steam_app_database]" displayFolder="" count="0" memberValueDatatype="130" unbalanced="0"/>
    <cacheHierarchy uniqueName="[steam_app_database].[total_positive]" caption="total_positive" attribute="1" defaultMemberUniqueName="[steam_app_database].[total_positive].[All]" allUniqueName="[steam_app_database].[total_positive].[All]" dimensionUniqueName="[steam_app_database]" displayFolder="" count="0" memberValueDatatype="20" unbalanced="0"/>
    <cacheHierarchy uniqueName="[steam_app_database].[total_negative]" caption="total_negative" attribute="1" defaultMemberUniqueName="[steam_app_database].[total_negative].[All]" allUniqueName="[steam_app_database].[total_negative].[All]" dimensionUniqueName="[steam_app_database]" displayFolder="" count="0" memberValueDatatype="20" unbalanced="0"/>
    <cacheHierarchy uniqueName="[steam_app_database].[total_reviews]" caption="total_reviews" attribute="1" defaultMemberUniqueName="[steam_app_database].[total_reviews].[All]" allUniqueName="[steam_app_database].[total_reviews].[All]" dimensionUniqueName="[steam_app_database]" displayFolder="" count="0" memberValueDatatype="20" unbalanced="0"/>
    <cacheHierarchy uniqueName="[steam_app_database].[free_or_paid]" caption="free_or_paid" attribute="1" defaultMemberUniqueName="[steam_app_database].[free_or_paid].[All]" allUniqueName="[steam_app_database].[free_or_paid].[All]" dimensionUniqueName="[steam_app_database]" displayFolder="" count="2" memberValueDatatype="130" unbalanced="0">
      <fieldsUsage count="2">
        <fieldUsage x="-1"/>
        <fieldUsage x="3"/>
      </fieldsUsage>
    </cacheHierarchy>
    <cacheHierarchy uniqueName="[Measures].[Player Count]" caption="Player Count" measure="1" displayFolder="" measureGroup="steam_app_database" count="0"/>
    <cacheHierarchy uniqueName="[Measures].[Game Count]" caption="Game Count" measure="1" displayFolder="" measureGroup="steam_app_database" count="0"/>
    <cacheHierarchy uniqueName="[Measures].[Average Game Price]" caption="Average Game Price" measure="1" displayFolder="" measureGroup="steam_app_database" count="0"/>
    <cacheHierarchy uniqueName="[Measures].[Positive Review Percentage]" caption="Positive Review Percentage" measure="1" displayFolder="" measureGroup="steam_app_database" count="0" oneField="1">
      <fieldsUsage count="1">
        <fieldUsage x="1"/>
      </fieldsUsage>
    </cacheHierarchy>
    <cacheHierarchy uniqueName="[Measures].[Negative Review Percentage]" caption="Negative Review Percentage" measure="1" displayFolder="" measureGroup="steam_app_database" count="0" oneField="1">
      <fieldsUsage count="1">
        <fieldUsage x="2"/>
      </fieldsUsage>
    </cacheHierarchy>
    <cacheHierarchy uniqueName="[Measures].[__XL_Count steam_app_database]" caption="__XL_Count steam_app_database" measure="1" displayFolder="" measureGroup="steam_app_database" count="0" hidden="1"/>
    <cacheHierarchy uniqueName="[Measures].[__XL_Count Calendar]" caption="__XL_Count Calendar" measure="1" displayFolder="" measureGroup="release_calendar" count="0" hidden="1"/>
    <cacheHierarchy uniqueName="[Measures].[__No measures defined]" caption="__No measures defined" measure="1" displayFolder="" count="0" hidden="1"/>
    <cacheHierarchy uniqueName="[Measures].[Count of player_count]" caption="Count of player_count" measure="1" displayFolder="" measureGroup="steam_app_database" count="0" hidden="1">
      <extLst>
        <ext xmlns:x15="http://schemas.microsoft.com/office/spreadsheetml/2010/11/main" uri="{B97F6D7D-B522-45F9-BDA1-12C45D357490}">
          <x15:cacheHierarchy aggregatedColumn="17"/>
        </ext>
      </extLst>
    </cacheHierarchy>
    <cacheHierarchy uniqueName="[Measures].[Count of name]" caption="Count of name" measure="1" displayFolder="" measureGroup="steam_app_database" count="0" hidden="1">
      <extLst>
        <ext xmlns:x15="http://schemas.microsoft.com/office/spreadsheetml/2010/11/main" uri="{B97F6D7D-B522-45F9-BDA1-12C45D357490}">
          <x15:cacheHierarchy aggregatedColumn="9"/>
        </ext>
      </extLst>
    </cacheHierarchy>
    <cacheHierarchy uniqueName="[Measures].[Sum of player_count]" caption="Sum of player_count" measure="1" displayFolder="" measureGroup="steam_app_database" count="0" hidden="1">
      <extLst>
        <ext xmlns:x15="http://schemas.microsoft.com/office/spreadsheetml/2010/11/main" uri="{B97F6D7D-B522-45F9-BDA1-12C45D357490}">
          <x15:cacheHierarchy aggregatedColumn="17"/>
        </ext>
      </extLst>
    </cacheHierarchy>
    <cacheHierarchy uniqueName="[Measures].[Sum of Year]" caption="Sum of Year" measure="1" displayFolder="" measureGroup="release_calendar" count="0" hidden="1">
      <extLst>
        <ext xmlns:x15="http://schemas.microsoft.com/office/spreadsheetml/2010/11/main" uri="{B97F6D7D-B522-45F9-BDA1-12C45D357490}">
          <x15:cacheHierarchy aggregatedColumn="2"/>
        </ext>
      </extLst>
    </cacheHierarchy>
    <cacheHierarchy uniqueName="[Measures].[Count of appid]" caption="Count of appid" measure="1" displayFolder="" measureGroup="steam_app_database" count="0" hidden="1">
      <extLst>
        <ext xmlns:x15="http://schemas.microsoft.com/office/spreadsheetml/2010/11/main" uri="{B97F6D7D-B522-45F9-BDA1-12C45D357490}">
          <x15:cacheHierarchy aggregatedColumn="8"/>
        </ext>
      </extLst>
    </cacheHierarchy>
    <cacheHierarchy uniqueName="[Measures].[Sum of price_usd]" caption="Sum of price_usd" measure="1" displayFolder="" measureGroup="steam_app_database" count="0" hidden="1">
      <extLst>
        <ext xmlns:x15="http://schemas.microsoft.com/office/spreadsheetml/2010/11/main" uri="{B97F6D7D-B522-45F9-BDA1-12C45D357490}">
          <x15:cacheHierarchy aggregatedColumn="12"/>
        </ext>
      </extLst>
    </cacheHierarchy>
    <cacheHierarchy uniqueName="[Measures].[Average of price_usd]" caption="Average of price_usd" measure="1" displayFolder="" measureGroup="steam_app_database" count="0" hidden="1">
      <extLst>
        <ext xmlns:x15="http://schemas.microsoft.com/office/spreadsheetml/2010/11/main" uri="{B97F6D7D-B522-45F9-BDA1-12C45D357490}">
          <x15:cacheHierarchy aggregatedColumn="12"/>
        </ext>
      </extLst>
    </cacheHierarchy>
    <cacheHierarchy uniqueName="[Measures].[Sum of review_score]" caption="Sum of review_score" measure="1" displayFolder="" measureGroup="steam_app_database" count="0" hidden="1">
      <extLst>
        <ext xmlns:x15="http://schemas.microsoft.com/office/spreadsheetml/2010/11/main" uri="{B97F6D7D-B522-45F9-BDA1-12C45D357490}">
          <x15:cacheHierarchy aggregatedColumn="18"/>
        </ext>
      </extLst>
    </cacheHierarchy>
    <cacheHierarchy uniqueName="[Measures].[Sum of total_positive]" caption="Sum of total_positive" measure="1" displayFolder="" measureGroup="steam_app_database" count="0" hidden="1">
      <extLst>
        <ext xmlns:x15="http://schemas.microsoft.com/office/spreadsheetml/2010/11/main" uri="{B97F6D7D-B522-45F9-BDA1-12C45D357490}">
          <x15:cacheHierarchy aggregatedColumn="20"/>
        </ext>
      </extLst>
    </cacheHierarchy>
    <cacheHierarchy uniqueName="[Measures].[Sum of total_reviews]" caption="Sum of total_reviews" measure="1" displayFolder="" measureGroup="steam_app_database" count="0" hidden="1">
      <extLst>
        <ext xmlns:x15="http://schemas.microsoft.com/office/spreadsheetml/2010/11/main" uri="{B97F6D7D-B522-45F9-BDA1-12C45D357490}">
          <x15:cacheHierarchy aggregatedColumn="22"/>
        </ext>
      </extLst>
    </cacheHierarchy>
    <cacheHierarchy uniqueName="[Measures].[Sum of total_negative]" caption="Sum of total_negative" measure="1" displayFolder="" measureGroup="steam_app_database" count="0" hidden="1">
      <extLst>
        <ext xmlns:x15="http://schemas.microsoft.com/office/spreadsheetml/2010/11/main" uri="{B97F6D7D-B522-45F9-BDA1-12C45D357490}">
          <x15:cacheHierarchy aggregatedColumn="21"/>
        </ext>
      </extLst>
    </cacheHierarchy>
    <cacheHierarchy uniqueName="[Measures].[Average of player_count]" caption="Average of player_count" measure="1" displayFolder="" measureGroup="steam_app_database" count="0" hidden="1">
      <extLst>
        <ext xmlns:x15="http://schemas.microsoft.com/office/spreadsheetml/2010/11/main" uri="{B97F6D7D-B522-45F9-BDA1-12C45D357490}">
          <x15:cacheHierarchy aggregatedColumn="17"/>
        </ext>
      </extLst>
    </cacheHierarchy>
    <cacheHierarchy uniqueName="[Measures].[Count of genre]" caption="Count of genre" measure="1" displayFolder="" measureGroup="steam_app_database" count="0" hidden="1">
      <extLst>
        <ext xmlns:x15="http://schemas.microsoft.com/office/spreadsheetml/2010/11/main" uri="{B97F6D7D-B522-45F9-BDA1-12C45D357490}">
          <x15:cacheHierarchy aggregatedColumn="13"/>
        </ext>
      </extLst>
    </cacheHierarchy>
  </cacheHierarchies>
  <kpis count="0"/>
  <dimensions count="3">
    <dimension measure="1" name="Measures" uniqueName="[Measures]" caption="Measures"/>
    <dimension name="release_calendar" uniqueName="[release_calendar]" caption="release_calendar"/>
    <dimension name="steam_app_database" uniqueName="[steam_app_database]" caption="steam_app_database"/>
  </dimensions>
  <measureGroups count="2">
    <measureGroup name="release_calendar" caption="release_calendar"/>
    <measureGroup name="steam_app_database" caption="steam_app_database"/>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ngston Stewart" refreshedDate="46267.6830162037" backgroundQuery="1" createdVersion="8" refreshedVersion="8" minRefreshableVersion="3" recordCount="0" supportSubquery="1" supportAdvancedDrill="1" xr:uid="{BB6537E3-82DB-4278-88FE-2AB2E2A21729}">
  <cacheSource type="external" connectionId="4"/>
  <cacheFields count="2">
    <cacheField name="[steam_app_database].[free_or_paid].[free_or_paid]" caption="free_or_paid" numFmtId="0" hierarchy="23" level="1">
      <sharedItems count="2">
        <s v="Free-To-Play"/>
        <s v="Paid Purchase"/>
      </sharedItems>
    </cacheField>
    <cacheField name="[Measures].[Sum of player_count]" caption="Sum of player_count" numFmtId="0" hierarchy="34" level="32767"/>
  </cacheFields>
  <cacheHierarchies count="45">
    <cacheHierarchy uniqueName="[release_calendar].[Date]" caption="Date" attribute="1" time="1" keyAttribute="1" defaultMemberUniqueName="[release_calendar].[Date].[All]" allUniqueName="[release_calendar].[Date].[All]" dimensionUniqueName="[release_calendar]" displayFolder="" count="0" memberValueDatatype="7" unbalanced="0"/>
    <cacheHierarchy uniqueName="[release_calendar].[Date Hierarchy]" caption="Date Hierarchy" time="1" defaultMemberUniqueName="[release_calendar].[Date Hierarchy].[All]" allUniqueName="[release_calendar].[Date Hierarchy].[All]" dimensionUniqueName="[release_calendar]" displayFolder="" count="0" unbalanced="0"/>
    <cacheHierarchy uniqueName="[release_calendar].[Year]" caption="Year" attribute="1" time="1" defaultMemberUniqueName="[release_calendar].[Year].[All]" allUniqueName="[release_calendar].[Year].[All]" dimensionUniqueName="[release_calendar]" displayFolder="" count="0" memberValueDatatype="20" unbalanced="0"/>
    <cacheHierarchy uniqueName="[release_calendar].[Month Number]" caption="Month Number" attribute="1" time="1" defaultMemberUniqueName="[release_calendar].[Month Number].[All]" allUniqueName="[release_calendar].[Month Number].[All]" dimensionUniqueName="[release_calendar]" displayFolder="" count="0" memberValueDatatype="20" unbalanced="0"/>
    <cacheHierarchy uniqueName="[release_calendar].[Month]" caption="Month" attribute="1" time="1" defaultMemberUniqueName="[release_calendar].[Month].[All]" allUniqueName="[release_calendar].[Month].[All]" dimensionUniqueName="[release_calendar]" displayFolder="" count="0" memberValueDatatype="130" unbalanced="0"/>
    <cacheHierarchy uniqueName="[release_calendar].[MMM-YYYY]" caption="MMM-YYYY" attribute="1" time="1" defaultMemberUniqueName="[release_calendar].[MMM-YYYY].[All]" allUniqueName="[release_calendar].[MMM-YYYY].[All]" dimensionUniqueName="[release_calendar]" displayFolder="" count="0" memberValueDatatype="130" unbalanced="0"/>
    <cacheHierarchy uniqueName="[release_calendar].[Day Of Week Number]" caption="Day Of Week Number" attribute="1" time="1" defaultMemberUniqueName="[release_calendar].[Day Of Week Number].[All]" allUniqueName="[release_calendar].[Day Of Week Number].[All]" dimensionUniqueName="[release_calendar]" displayFolder="" count="0" memberValueDatatype="20" unbalanced="0"/>
    <cacheHierarchy uniqueName="[release_calendar].[Day Of Week]" caption="Day Of Week" attribute="1" time="1" defaultMemberUniqueName="[release_calendar].[Day Of Week].[All]" allUniqueName="[release_calendar].[Day Of Week].[All]" dimensionUniqueName="[release_calendar]" displayFolder="" count="0" memberValueDatatype="130" unbalanced="0"/>
    <cacheHierarchy uniqueName="[steam_app_database].[appid]" caption="appid" attribute="1" defaultMemberUniqueName="[steam_app_database].[appid].[All]" allUniqueName="[steam_app_database].[appid].[All]" dimensionUniqueName="[steam_app_database]" displayFolder="" count="0" memberValueDatatype="130" unbalanced="0"/>
    <cacheHierarchy uniqueName="[steam_app_database].[name]" caption="name" attribute="1" defaultMemberUniqueName="[steam_app_database].[name].[All]" allUniqueName="[steam_app_database].[name].[All]" dimensionUniqueName="[steam_app_database]" displayFolder="" count="0" memberValueDatatype="130" unbalanced="0"/>
    <cacheHierarchy uniqueName="[steam_app_database].[releasedate]" caption="releasedate" attribute="1" time="1" defaultMemberUniqueName="[steam_app_database].[releasedate].[All]" allUniqueName="[steam_app_database].[releasedate].[All]" dimensionUniqueName="[steam_app_database]" displayFolder="" count="0" memberValueDatatype="7" unbalanced="0"/>
    <cacheHierarchy uniqueName="[steam_app_database].[is_free]" caption="is_free" attribute="1" defaultMemberUniqueName="[steam_app_database].[is_free].[All]" allUniqueName="[steam_app_database].[is_free].[All]" dimensionUniqueName="[steam_app_database]" displayFolder="" count="0" memberValueDatatype="130" unbalanced="0"/>
    <cacheHierarchy uniqueName="[steam_app_database].[price_usd]" caption="price_usd" attribute="1" defaultMemberUniqueName="[steam_app_database].[price_usd].[All]" allUniqueName="[steam_app_database].[price_usd].[All]" dimensionUniqueName="[steam_app_database]" displayFolder="" count="0" memberValueDatatype="5" unbalanced="0"/>
    <cacheHierarchy uniqueName="[steam_app_database].[genre]" caption="genre" attribute="1" defaultMemberUniqueName="[steam_app_database].[genre].[All]" allUniqueName="[steam_app_database].[genre].[All]" dimensionUniqueName="[steam_app_database]" displayFolder="" count="0" memberValueDatatype="130" unbalanced="0"/>
    <cacheHierarchy uniqueName="[steam_app_database].[achievement_count]" caption="achievement_count" attribute="1" defaultMemberUniqueName="[steam_app_database].[achievement_count].[All]" allUniqueName="[steam_app_database].[achievement_count].[All]" dimensionUniqueName="[steam_app_database]" displayFolder="" count="0" memberValueDatatype="20" unbalanced="0"/>
    <cacheHierarchy uniqueName="[steam_app_database].[developer]" caption="developer" attribute="1" defaultMemberUniqueName="[steam_app_database].[developer].[All]" allUniqueName="[steam_app_database].[developer].[All]" dimensionUniqueName="[steam_app_database]" displayFolder="" count="0" memberValueDatatype="130" unbalanced="0"/>
    <cacheHierarchy uniqueName="[steam_app_database].[publisher]" caption="publisher" attribute="1" defaultMemberUniqueName="[steam_app_database].[publisher].[All]" allUniqueName="[steam_app_database].[publisher].[All]" dimensionUniqueName="[steam_app_database]" displayFolder="" count="0" memberValueDatatype="130" unbalanced="0"/>
    <cacheHierarchy uniqueName="[steam_app_database].[player_count]" caption="player_count" attribute="1" defaultMemberUniqueName="[steam_app_database].[player_count].[All]" allUniqueName="[steam_app_database].[player_count].[All]" dimensionUniqueName="[steam_app_database]" displayFolder="" count="0" memberValueDatatype="20" unbalanced="0"/>
    <cacheHierarchy uniqueName="[steam_app_database].[review_score]" caption="review_score" attribute="1" defaultMemberUniqueName="[steam_app_database].[review_score].[All]" allUniqueName="[steam_app_database].[review_score].[All]" dimensionUniqueName="[steam_app_database]" displayFolder="" count="0" memberValueDatatype="20" unbalanced="0"/>
    <cacheHierarchy uniqueName="[steam_app_database].[review_score_desc]" caption="review_score_desc" attribute="1" defaultMemberUniqueName="[steam_app_database].[review_score_desc].[All]" allUniqueName="[steam_app_database].[review_score_desc].[All]" dimensionUniqueName="[steam_app_database]" displayFolder="" count="0" memberValueDatatype="130" unbalanced="0"/>
    <cacheHierarchy uniqueName="[steam_app_database].[total_positive]" caption="total_positive" attribute="1" defaultMemberUniqueName="[steam_app_database].[total_positive].[All]" allUniqueName="[steam_app_database].[total_positive].[All]" dimensionUniqueName="[steam_app_database]" displayFolder="" count="0" memberValueDatatype="20" unbalanced="0"/>
    <cacheHierarchy uniqueName="[steam_app_database].[total_negative]" caption="total_negative" attribute="1" defaultMemberUniqueName="[steam_app_database].[total_negative].[All]" allUniqueName="[steam_app_database].[total_negative].[All]" dimensionUniqueName="[steam_app_database]" displayFolder="" count="0" memberValueDatatype="20" unbalanced="0"/>
    <cacheHierarchy uniqueName="[steam_app_database].[total_reviews]" caption="total_reviews" attribute="1" defaultMemberUniqueName="[steam_app_database].[total_reviews].[All]" allUniqueName="[steam_app_database].[total_reviews].[All]" dimensionUniqueName="[steam_app_database]" displayFolder="" count="0" memberValueDatatype="20" unbalanced="0"/>
    <cacheHierarchy uniqueName="[steam_app_database].[free_or_paid]" caption="free_or_paid" attribute="1" defaultMemberUniqueName="[steam_app_database].[free_or_paid].[All]" allUniqueName="[steam_app_database].[free_or_paid].[All]" dimensionUniqueName="[steam_app_database]" displayFolder="" count="2" memberValueDatatype="130" unbalanced="0">
      <fieldsUsage count="2">
        <fieldUsage x="-1"/>
        <fieldUsage x="0"/>
      </fieldsUsage>
    </cacheHierarchy>
    <cacheHierarchy uniqueName="[Measures].[Player Count]" caption="Player Count" measure="1" displayFolder="" measureGroup="steam_app_database" count="0"/>
    <cacheHierarchy uniqueName="[Measures].[Game Count]" caption="Game Count" measure="1" displayFolder="" measureGroup="steam_app_database" count="0"/>
    <cacheHierarchy uniqueName="[Measures].[Average Game Price]" caption="Average Game Price" measure="1" displayFolder="" measureGroup="steam_app_database" count="0"/>
    <cacheHierarchy uniqueName="[Measures].[Positive Review Percentage]" caption="Positive Review Percentage" measure="1" displayFolder="" measureGroup="steam_app_database" count="0"/>
    <cacheHierarchy uniqueName="[Measures].[Negative Review Percentage]" caption="Negative Review Percentage" measure="1" displayFolder="" measureGroup="steam_app_database" count="0"/>
    <cacheHierarchy uniqueName="[Measures].[__XL_Count steam_app_database]" caption="__XL_Count steam_app_database" measure="1" displayFolder="" measureGroup="steam_app_database" count="0" hidden="1"/>
    <cacheHierarchy uniqueName="[Measures].[__XL_Count Calendar]" caption="__XL_Count Calendar" measure="1" displayFolder="" measureGroup="release_calendar" count="0" hidden="1"/>
    <cacheHierarchy uniqueName="[Measures].[__No measures defined]" caption="__No measures defined" measure="1" displayFolder="" count="0" hidden="1"/>
    <cacheHierarchy uniqueName="[Measures].[Count of player_count]" caption="Count of player_count" measure="1" displayFolder="" measureGroup="steam_app_database" count="0" hidden="1">
      <extLst>
        <ext xmlns:x15="http://schemas.microsoft.com/office/spreadsheetml/2010/11/main" uri="{B97F6D7D-B522-45F9-BDA1-12C45D357490}">
          <x15:cacheHierarchy aggregatedColumn="17"/>
        </ext>
      </extLst>
    </cacheHierarchy>
    <cacheHierarchy uniqueName="[Measures].[Count of name]" caption="Count of name" measure="1" displayFolder="" measureGroup="steam_app_database" count="0" hidden="1">
      <extLst>
        <ext xmlns:x15="http://schemas.microsoft.com/office/spreadsheetml/2010/11/main" uri="{B97F6D7D-B522-45F9-BDA1-12C45D357490}">
          <x15:cacheHierarchy aggregatedColumn="9"/>
        </ext>
      </extLst>
    </cacheHierarchy>
    <cacheHierarchy uniqueName="[Measures].[Sum of player_count]" caption="Sum of player_count" measure="1" displayFolder="" measureGroup="steam_app_database"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Year]" caption="Sum of Year" measure="1" displayFolder="" measureGroup="release_calendar" count="0" hidden="1">
      <extLst>
        <ext xmlns:x15="http://schemas.microsoft.com/office/spreadsheetml/2010/11/main" uri="{B97F6D7D-B522-45F9-BDA1-12C45D357490}">
          <x15:cacheHierarchy aggregatedColumn="2"/>
        </ext>
      </extLst>
    </cacheHierarchy>
    <cacheHierarchy uniqueName="[Measures].[Count of appid]" caption="Count of appid" measure="1" displayFolder="" measureGroup="steam_app_database" count="0" hidden="1">
      <extLst>
        <ext xmlns:x15="http://schemas.microsoft.com/office/spreadsheetml/2010/11/main" uri="{B97F6D7D-B522-45F9-BDA1-12C45D357490}">
          <x15:cacheHierarchy aggregatedColumn="8"/>
        </ext>
      </extLst>
    </cacheHierarchy>
    <cacheHierarchy uniqueName="[Measures].[Sum of price_usd]" caption="Sum of price_usd" measure="1" displayFolder="" measureGroup="steam_app_database" count="0" hidden="1">
      <extLst>
        <ext xmlns:x15="http://schemas.microsoft.com/office/spreadsheetml/2010/11/main" uri="{B97F6D7D-B522-45F9-BDA1-12C45D357490}">
          <x15:cacheHierarchy aggregatedColumn="12"/>
        </ext>
      </extLst>
    </cacheHierarchy>
    <cacheHierarchy uniqueName="[Measures].[Average of price_usd]" caption="Average of price_usd" measure="1" displayFolder="" measureGroup="steam_app_database" count="0" hidden="1">
      <extLst>
        <ext xmlns:x15="http://schemas.microsoft.com/office/spreadsheetml/2010/11/main" uri="{B97F6D7D-B522-45F9-BDA1-12C45D357490}">
          <x15:cacheHierarchy aggregatedColumn="12"/>
        </ext>
      </extLst>
    </cacheHierarchy>
    <cacheHierarchy uniqueName="[Measures].[Sum of review_score]" caption="Sum of review_score" measure="1" displayFolder="" measureGroup="steam_app_database" count="0" hidden="1">
      <extLst>
        <ext xmlns:x15="http://schemas.microsoft.com/office/spreadsheetml/2010/11/main" uri="{B97F6D7D-B522-45F9-BDA1-12C45D357490}">
          <x15:cacheHierarchy aggregatedColumn="18"/>
        </ext>
      </extLst>
    </cacheHierarchy>
    <cacheHierarchy uniqueName="[Measures].[Sum of total_positive]" caption="Sum of total_positive" measure="1" displayFolder="" measureGroup="steam_app_database" count="0" hidden="1">
      <extLst>
        <ext xmlns:x15="http://schemas.microsoft.com/office/spreadsheetml/2010/11/main" uri="{B97F6D7D-B522-45F9-BDA1-12C45D357490}">
          <x15:cacheHierarchy aggregatedColumn="20"/>
        </ext>
      </extLst>
    </cacheHierarchy>
    <cacheHierarchy uniqueName="[Measures].[Sum of total_reviews]" caption="Sum of total_reviews" measure="1" displayFolder="" measureGroup="steam_app_database" count="0" hidden="1">
      <extLst>
        <ext xmlns:x15="http://schemas.microsoft.com/office/spreadsheetml/2010/11/main" uri="{B97F6D7D-B522-45F9-BDA1-12C45D357490}">
          <x15:cacheHierarchy aggregatedColumn="22"/>
        </ext>
      </extLst>
    </cacheHierarchy>
    <cacheHierarchy uniqueName="[Measures].[Sum of total_negative]" caption="Sum of total_negative" measure="1" displayFolder="" measureGroup="steam_app_database" count="0" hidden="1">
      <extLst>
        <ext xmlns:x15="http://schemas.microsoft.com/office/spreadsheetml/2010/11/main" uri="{B97F6D7D-B522-45F9-BDA1-12C45D357490}">
          <x15:cacheHierarchy aggregatedColumn="21"/>
        </ext>
      </extLst>
    </cacheHierarchy>
    <cacheHierarchy uniqueName="[Measures].[Average of player_count]" caption="Average of player_count" measure="1" displayFolder="" measureGroup="steam_app_database" count="0" hidden="1">
      <extLst>
        <ext xmlns:x15="http://schemas.microsoft.com/office/spreadsheetml/2010/11/main" uri="{B97F6D7D-B522-45F9-BDA1-12C45D357490}">
          <x15:cacheHierarchy aggregatedColumn="17"/>
        </ext>
      </extLst>
    </cacheHierarchy>
    <cacheHierarchy uniqueName="[Measures].[Count of genre]" caption="Count of genre" measure="1" displayFolder="" measureGroup="steam_app_database" count="0" hidden="1">
      <extLst>
        <ext xmlns:x15="http://schemas.microsoft.com/office/spreadsheetml/2010/11/main" uri="{B97F6D7D-B522-45F9-BDA1-12C45D357490}">
          <x15:cacheHierarchy aggregatedColumn="13"/>
        </ext>
      </extLst>
    </cacheHierarchy>
  </cacheHierarchies>
  <kpis count="0"/>
  <dimensions count="3">
    <dimension measure="1" name="Measures" uniqueName="[Measures]" caption="Measures"/>
    <dimension name="release_calendar" uniqueName="[release_calendar]" caption="release_calendar"/>
    <dimension name="steam_app_database" uniqueName="[steam_app_database]" caption="steam_app_database"/>
  </dimensions>
  <measureGroups count="2">
    <measureGroup name="release_calendar" caption="release_calendar"/>
    <measureGroup name="steam_app_database" caption="steam_app_database"/>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ngston Stewart" refreshedDate="46267.689040393518" backgroundQuery="1" createdVersion="8" refreshedVersion="8" minRefreshableVersion="3" recordCount="0" supportSubquery="1" supportAdvancedDrill="1" xr:uid="{7878062F-A519-40C4-A7C8-9B12193425A3}">
  <cacheSource type="external" connectionId="4"/>
  <cacheFields count="4">
    <cacheField name="[steam_app_database].[name].[name]" caption="name" numFmtId="0" hierarchy="9" level="1">
      <sharedItems count="15">
        <s v="Baldur's Gate 3"/>
        <s v="DayZ"/>
        <s v="Dead by Daylight"/>
        <s v="EA SPORTS FC™ 26"/>
        <s v="FiveM"/>
        <s v="Geometry Dash"/>
        <s v="Grand Theft Auto V Enhanced"/>
        <s v="Grand Theft Auto V Legacy"/>
        <s v="Palworld"/>
        <s v="Path of Exile 2"/>
        <s v="Rust"/>
        <s v="Slay the Spire 2"/>
        <s v="Stardew Valley"/>
        <s v="The Binding of Isaac: Rebirth"/>
        <s v="Wallpaper Engine"/>
      </sharedItems>
    </cacheField>
    <cacheField name="[Measures].[Player Count]" caption="Player Count" numFmtId="0" hierarchy="24" level="32767"/>
    <cacheField name="[steam_app_database].[is_free].[is_free]" caption="is_free" numFmtId="0" hierarchy="11" level="1">
      <sharedItems containsSemiMixedTypes="0" containsNonDate="0" containsString="0"/>
    </cacheField>
    <cacheField name="[steam_app_database].[free_or_paid].[free_or_paid]" caption="free_or_paid" numFmtId="0" hierarchy="23" level="1">
      <sharedItems containsSemiMixedTypes="0" containsNonDate="0" containsString="0"/>
    </cacheField>
  </cacheFields>
  <cacheHierarchies count="45">
    <cacheHierarchy uniqueName="[release_calendar].[Date]" caption="Date" attribute="1" time="1" keyAttribute="1" defaultMemberUniqueName="[release_calendar].[Date].[All]" allUniqueName="[release_calendar].[Date].[All]" dimensionUniqueName="[release_calendar]" displayFolder="" count="2" memberValueDatatype="7" unbalanced="0"/>
    <cacheHierarchy uniqueName="[release_calendar].[Date Hierarchy]" caption="Date Hierarchy" time="1" defaultMemberUniqueName="[release_calendar].[Date Hierarchy].[All]" allUniqueName="[release_calendar].[Date Hierarchy].[All]" dimensionUniqueName="[release_calendar]" displayFolder="" count="4" unbalanced="0"/>
    <cacheHierarchy uniqueName="[release_calendar].[Year]" caption="Year" attribute="1" time="1" defaultMemberUniqueName="[release_calendar].[Year].[All]" allUniqueName="[release_calendar].[Year].[All]" dimensionUniqueName="[release_calendar]" displayFolder="" count="2" memberValueDatatype="20" unbalanced="0"/>
    <cacheHierarchy uniqueName="[release_calendar].[Month Number]" caption="Month Number" attribute="1" time="1" defaultMemberUniqueName="[release_calendar].[Month Number].[All]" allUniqueName="[release_calendar].[Month Number].[All]" dimensionUniqueName="[release_calendar]" displayFolder="" count="2" memberValueDatatype="20" unbalanced="0"/>
    <cacheHierarchy uniqueName="[release_calendar].[Month]" caption="Month" attribute="1" time="1" defaultMemberUniqueName="[release_calendar].[Month].[All]" allUniqueName="[release_calendar].[Month].[All]" dimensionUniqueName="[release_calendar]" displayFolder="" count="2" memberValueDatatype="130" unbalanced="0"/>
    <cacheHierarchy uniqueName="[release_calendar].[MMM-YYYY]" caption="MMM-YYYY" attribute="1" time="1" defaultMemberUniqueName="[release_calendar].[MMM-YYYY].[All]" allUniqueName="[release_calendar].[MMM-YYYY].[All]" dimensionUniqueName="[release_calendar]" displayFolder="" count="2" memberValueDatatype="130" unbalanced="0"/>
    <cacheHierarchy uniqueName="[release_calendar].[Day Of Week Number]" caption="Day Of Week Number" attribute="1" time="1" defaultMemberUniqueName="[release_calendar].[Day Of Week Number].[All]" allUniqueName="[release_calendar].[Day Of Week Number].[All]" dimensionUniqueName="[release_calendar]" displayFolder="" count="2" memberValueDatatype="20" unbalanced="0"/>
    <cacheHierarchy uniqueName="[release_calendar].[Day Of Week]" caption="Day Of Week" attribute="1" time="1" defaultMemberUniqueName="[release_calendar].[Day Of Week].[All]" allUniqueName="[release_calendar].[Day Of Week].[All]" dimensionUniqueName="[release_calendar]" displayFolder="" count="2" memberValueDatatype="130" unbalanced="0"/>
    <cacheHierarchy uniqueName="[steam_app_database].[appid]" caption="appid" attribute="1" defaultMemberUniqueName="[steam_app_database].[appid].[All]" allUniqueName="[steam_app_database].[appid].[All]" dimensionUniqueName="[steam_app_database]" displayFolder="" count="2" memberValueDatatype="130" unbalanced="0"/>
    <cacheHierarchy uniqueName="[steam_app_database].[name]" caption="name" attribute="1" defaultMemberUniqueName="[steam_app_database].[name].[All]" allUniqueName="[steam_app_database].[name].[All]" dimensionUniqueName="[steam_app_database]" displayFolder="" count="2" memberValueDatatype="130" unbalanced="0">
      <fieldsUsage count="2">
        <fieldUsage x="-1"/>
        <fieldUsage x="0"/>
      </fieldsUsage>
    </cacheHierarchy>
    <cacheHierarchy uniqueName="[steam_app_database].[releasedate]" caption="releasedate" attribute="1" time="1" defaultMemberUniqueName="[steam_app_database].[releasedate].[All]" allUniqueName="[steam_app_database].[releasedate].[All]" dimensionUniqueName="[steam_app_database]" displayFolder="" count="2" memberValueDatatype="7" unbalanced="0"/>
    <cacheHierarchy uniqueName="[steam_app_database].[is_free]" caption="is_free" attribute="1" defaultMemberUniqueName="[steam_app_database].[is_free].[All]" allUniqueName="[steam_app_database].[is_free].[All]" dimensionUniqueName="[steam_app_database]" displayFolder="" count="2" memberValueDatatype="130" unbalanced="0">
      <fieldsUsage count="2">
        <fieldUsage x="-1"/>
        <fieldUsage x="2"/>
      </fieldsUsage>
    </cacheHierarchy>
    <cacheHierarchy uniqueName="[steam_app_database].[price_usd]" caption="price_usd" attribute="1" defaultMemberUniqueName="[steam_app_database].[price_usd].[All]" allUniqueName="[steam_app_database].[price_usd].[All]" dimensionUniqueName="[steam_app_database]" displayFolder="" count="2" memberValueDatatype="5" unbalanced="0"/>
    <cacheHierarchy uniqueName="[steam_app_database].[genre]" caption="genre" attribute="1" defaultMemberUniqueName="[steam_app_database].[genre].[All]" allUniqueName="[steam_app_database].[genre].[All]" dimensionUniqueName="[steam_app_database]" displayFolder="" count="2" memberValueDatatype="130" unbalanced="0"/>
    <cacheHierarchy uniqueName="[steam_app_database].[achievement_count]" caption="achievement_count" attribute="1" defaultMemberUniqueName="[steam_app_database].[achievement_count].[All]" allUniqueName="[steam_app_database].[achievement_count].[All]" dimensionUniqueName="[steam_app_database]" displayFolder="" count="2" memberValueDatatype="20" unbalanced="0"/>
    <cacheHierarchy uniqueName="[steam_app_database].[developer]" caption="developer" attribute="1" defaultMemberUniqueName="[steam_app_database].[developer].[All]" allUniqueName="[steam_app_database].[developer].[All]" dimensionUniqueName="[steam_app_database]" displayFolder="" count="2" memberValueDatatype="130" unbalanced="0"/>
    <cacheHierarchy uniqueName="[steam_app_database].[publisher]" caption="publisher" attribute="1" defaultMemberUniqueName="[steam_app_database].[publisher].[All]" allUniqueName="[steam_app_database].[publisher].[All]" dimensionUniqueName="[steam_app_database]" displayFolder="" count="2" memberValueDatatype="130" unbalanced="0"/>
    <cacheHierarchy uniqueName="[steam_app_database].[player_count]" caption="player_count" attribute="1" defaultMemberUniqueName="[steam_app_database].[player_count].[All]" allUniqueName="[steam_app_database].[player_count].[All]" dimensionUniqueName="[steam_app_database]" displayFolder="" count="2" memberValueDatatype="20" unbalanced="0"/>
    <cacheHierarchy uniqueName="[steam_app_database].[review_score]" caption="review_score" attribute="1" defaultMemberUniqueName="[steam_app_database].[review_score].[All]" allUniqueName="[steam_app_database].[review_score].[All]" dimensionUniqueName="[steam_app_database]" displayFolder="" count="2" memberValueDatatype="20" unbalanced="0"/>
    <cacheHierarchy uniqueName="[steam_app_database].[review_score_desc]" caption="review_score_desc" attribute="1" defaultMemberUniqueName="[steam_app_database].[review_score_desc].[All]" allUniqueName="[steam_app_database].[review_score_desc].[All]" dimensionUniqueName="[steam_app_database]" displayFolder="" count="2" memberValueDatatype="130" unbalanced="0"/>
    <cacheHierarchy uniqueName="[steam_app_database].[total_positive]" caption="total_positive" attribute="1" defaultMemberUniqueName="[steam_app_database].[total_positive].[All]" allUniqueName="[steam_app_database].[total_positive].[All]" dimensionUniqueName="[steam_app_database]" displayFolder="" count="2" memberValueDatatype="20" unbalanced="0"/>
    <cacheHierarchy uniqueName="[steam_app_database].[total_negative]" caption="total_negative" attribute="1" defaultMemberUniqueName="[steam_app_database].[total_negative].[All]" allUniqueName="[steam_app_database].[total_negative].[All]" dimensionUniqueName="[steam_app_database]" displayFolder="" count="2" memberValueDatatype="20" unbalanced="0"/>
    <cacheHierarchy uniqueName="[steam_app_database].[total_reviews]" caption="total_reviews" attribute="1" defaultMemberUniqueName="[steam_app_database].[total_reviews].[All]" allUniqueName="[steam_app_database].[total_reviews].[All]" dimensionUniqueName="[steam_app_database]" displayFolder="" count="2" memberValueDatatype="20" unbalanced="0"/>
    <cacheHierarchy uniqueName="[steam_app_database].[free_or_paid]" caption="free_or_paid" attribute="1" defaultMemberUniqueName="[steam_app_database].[free_or_paid].[All]" allUniqueName="[steam_app_database].[free_or_paid].[All]" dimensionUniqueName="[steam_app_database]" displayFolder="" count="2" memberValueDatatype="130" unbalanced="0">
      <fieldsUsage count="2">
        <fieldUsage x="-1"/>
        <fieldUsage x="3"/>
      </fieldsUsage>
    </cacheHierarchy>
    <cacheHierarchy uniqueName="[Measures].[Player Count]" caption="Player Count" measure="1" displayFolder="" measureGroup="steam_app_database" count="0" oneField="1">
      <fieldsUsage count="1">
        <fieldUsage x="1"/>
      </fieldsUsage>
    </cacheHierarchy>
    <cacheHierarchy uniqueName="[Measures].[Game Count]" caption="Game Count" measure="1" displayFolder="" measureGroup="steam_app_database" count="0"/>
    <cacheHierarchy uniqueName="[Measures].[Average Game Price]" caption="Average Game Price" measure="1" displayFolder="" measureGroup="steam_app_database" count="0"/>
    <cacheHierarchy uniqueName="[Measures].[Positive Review Percentage]" caption="Positive Review Percentage" measure="1" displayFolder="" measureGroup="steam_app_database" count="0"/>
    <cacheHierarchy uniqueName="[Measures].[Negative Review Percentage]" caption="Negative Review Percentage" measure="1" displayFolder="" measureGroup="steam_app_database" count="0"/>
    <cacheHierarchy uniqueName="[Measures].[__XL_Count steam_app_database]" caption="__XL_Count steam_app_database" measure="1" displayFolder="" measureGroup="steam_app_database" count="0" hidden="1"/>
    <cacheHierarchy uniqueName="[Measures].[__XL_Count Calendar]" caption="__XL_Count Calendar" measure="1" displayFolder="" measureGroup="release_calendar" count="0" hidden="1"/>
    <cacheHierarchy uniqueName="[Measures].[__No measures defined]" caption="__No measures defined" measure="1" displayFolder="" count="0" hidden="1"/>
    <cacheHierarchy uniqueName="[Measures].[Count of player_count]" caption="Count of player_count" measure="1" displayFolder="" measureGroup="steam_app_database" count="0" hidden="1">
      <extLst>
        <ext xmlns:x15="http://schemas.microsoft.com/office/spreadsheetml/2010/11/main" uri="{B97F6D7D-B522-45F9-BDA1-12C45D357490}">
          <x15:cacheHierarchy aggregatedColumn="17"/>
        </ext>
      </extLst>
    </cacheHierarchy>
    <cacheHierarchy uniqueName="[Measures].[Count of name]" caption="Count of name" measure="1" displayFolder="" measureGroup="steam_app_database" count="0" hidden="1">
      <extLst>
        <ext xmlns:x15="http://schemas.microsoft.com/office/spreadsheetml/2010/11/main" uri="{B97F6D7D-B522-45F9-BDA1-12C45D357490}">
          <x15:cacheHierarchy aggregatedColumn="9"/>
        </ext>
      </extLst>
    </cacheHierarchy>
    <cacheHierarchy uniqueName="[Measures].[Sum of player_count]" caption="Sum of player_count" measure="1" displayFolder="" measureGroup="steam_app_database" count="0" hidden="1">
      <extLst>
        <ext xmlns:x15="http://schemas.microsoft.com/office/spreadsheetml/2010/11/main" uri="{B97F6D7D-B522-45F9-BDA1-12C45D357490}">
          <x15:cacheHierarchy aggregatedColumn="17"/>
        </ext>
      </extLst>
    </cacheHierarchy>
    <cacheHierarchy uniqueName="[Measures].[Sum of Year]" caption="Sum of Year" measure="1" displayFolder="" measureGroup="release_calendar" count="0" hidden="1">
      <extLst>
        <ext xmlns:x15="http://schemas.microsoft.com/office/spreadsheetml/2010/11/main" uri="{B97F6D7D-B522-45F9-BDA1-12C45D357490}">
          <x15:cacheHierarchy aggregatedColumn="2"/>
        </ext>
      </extLst>
    </cacheHierarchy>
    <cacheHierarchy uniqueName="[Measures].[Count of appid]" caption="Count of appid" measure="1" displayFolder="" measureGroup="steam_app_database" count="0" hidden="1">
      <extLst>
        <ext xmlns:x15="http://schemas.microsoft.com/office/spreadsheetml/2010/11/main" uri="{B97F6D7D-B522-45F9-BDA1-12C45D357490}">
          <x15:cacheHierarchy aggregatedColumn="8"/>
        </ext>
      </extLst>
    </cacheHierarchy>
    <cacheHierarchy uniqueName="[Measures].[Sum of price_usd]" caption="Sum of price_usd" measure="1" displayFolder="" measureGroup="steam_app_database" count="0" hidden="1">
      <extLst>
        <ext xmlns:x15="http://schemas.microsoft.com/office/spreadsheetml/2010/11/main" uri="{B97F6D7D-B522-45F9-BDA1-12C45D357490}">
          <x15:cacheHierarchy aggregatedColumn="12"/>
        </ext>
      </extLst>
    </cacheHierarchy>
    <cacheHierarchy uniqueName="[Measures].[Average of price_usd]" caption="Average of price_usd" measure="1" displayFolder="" measureGroup="steam_app_database" count="0" hidden="1">
      <extLst>
        <ext xmlns:x15="http://schemas.microsoft.com/office/spreadsheetml/2010/11/main" uri="{B97F6D7D-B522-45F9-BDA1-12C45D357490}">
          <x15:cacheHierarchy aggregatedColumn="12"/>
        </ext>
      </extLst>
    </cacheHierarchy>
    <cacheHierarchy uniqueName="[Measures].[Sum of review_score]" caption="Sum of review_score" measure="1" displayFolder="" measureGroup="steam_app_database" count="0" hidden="1">
      <extLst>
        <ext xmlns:x15="http://schemas.microsoft.com/office/spreadsheetml/2010/11/main" uri="{B97F6D7D-B522-45F9-BDA1-12C45D357490}">
          <x15:cacheHierarchy aggregatedColumn="18"/>
        </ext>
      </extLst>
    </cacheHierarchy>
    <cacheHierarchy uniqueName="[Measures].[Sum of total_positive]" caption="Sum of total_positive" measure="1" displayFolder="" measureGroup="steam_app_database" count="0" hidden="1">
      <extLst>
        <ext xmlns:x15="http://schemas.microsoft.com/office/spreadsheetml/2010/11/main" uri="{B97F6D7D-B522-45F9-BDA1-12C45D357490}">
          <x15:cacheHierarchy aggregatedColumn="20"/>
        </ext>
      </extLst>
    </cacheHierarchy>
    <cacheHierarchy uniqueName="[Measures].[Sum of total_reviews]" caption="Sum of total_reviews" measure="1" displayFolder="" measureGroup="steam_app_database" count="0" hidden="1">
      <extLst>
        <ext xmlns:x15="http://schemas.microsoft.com/office/spreadsheetml/2010/11/main" uri="{B97F6D7D-B522-45F9-BDA1-12C45D357490}">
          <x15:cacheHierarchy aggregatedColumn="22"/>
        </ext>
      </extLst>
    </cacheHierarchy>
    <cacheHierarchy uniqueName="[Measures].[Sum of total_negative]" caption="Sum of total_negative" measure="1" displayFolder="" measureGroup="steam_app_database" count="0" hidden="1">
      <extLst>
        <ext xmlns:x15="http://schemas.microsoft.com/office/spreadsheetml/2010/11/main" uri="{B97F6D7D-B522-45F9-BDA1-12C45D357490}">
          <x15:cacheHierarchy aggregatedColumn="21"/>
        </ext>
      </extLst>
    </cacheHierarchy>
    <cacheHierarchy uniqueName="[Measures].[Average of player_count]" caption="Average of player_count" measure="1" displayFolder="" measureGroup="steam_app_database" count="0" hidden="1">
      <extLst>
        <ext xmlns:x15="http://schemas.microsoft.com/office/spreadsheetml/2010/11/main" uri="{B97F6D7D-B522-45F9-BDA1-12C45D357490}">
          <x15:cacheHierarchy aggregatedColumn="17"/>
        </ext>
      </extLst>
    </cacheHierarchy>
    <cacheHierarchy uniqueName="[Measures].[Count of genre]" caption="Count of genre" measure="1" displayFolder="" measureGroup="steam_app_database" count="0" hidden="1">
      <extLst>
        <ext xmlns:x15="http://schemas.microsoft.com/office/spreadsheetml/2010/11/main" uri="{B97F6D7D-B522-45F9-BDA1-12C45D357490}">
          <x15:cacheHierarchy aggregatedColumn="13"/>
        </ext>
      </extLst>
    </cacheHierarchy>
  </cacheHierarchies>
  <kpis count="0"/>
  <dimensions count="3">
    <dimension measure="1" name="Measures" uniqueName="[Measures]" caption="Measures"/>
    <dimension name="release_calendar" uniqueName="[release_calendar]" caption="release_calendar"/>
    <dimension name="steam_app_database" uniqueName="[steam_app_database]" caption="steam_app_database"/>
  </dimensions>
  <measureGroups count="2">
    <measureGroup name="release_calendar" caption="release_calendar"/>
    <measureGroup name="steam_app_database" caption="steam_app_database"/>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ngston Stewart" refreshedDate="46267.696276620372" backgroundQuery="1" createdVersion="8" refreshedVersion="8" minRefreshableVersion="3" recordCount="0" supportSubquery="1" supportAdvancedDrill="1" xr:uid="{07DB349C-24C5-4509-8EF3-8936F9F98C16}">
  <cacheSource type="external" connectionId="4"/>
  <cacheFields count="2">
    <cacheField name="[steam_app_database].[genre].[genre]" caption="genre" numFmtId="0" hierarchy="13" level="1">
      <sharedItems count="10">
        <s v="Action"/>
        <s v="Adventure"/>
        <s v="Early Access"/>
        <s v="Free To Play"/>
        <s v="Indie"/>
        <s v="No Genre"/>
        <s v="RPG"/>
        <s v="Simulation"/>
        <s v="Sports"/>
        <s v="Strategy"/>
      </sharedItems>
    </cacheField>
    <cacheField name="[Measures].[Sum of player_count]" caption="Sum of player_count" numFmtId="0" hierarchy="34" level="32767"/>
  </cacheFields>
  <cacheHierarchies count="45">
    <cacheHierarchy uniqueName="[release_calendar].[Date]" caption="Date" attribute="1" time="1" keyAttribute="1" defaultMemberUniqueName="[release_calendar].[Date].[All]" allUniqueName="[release_calendar].[Date].[All]" dimensionUniqueName="[release_calendar]" displayFolder="" count="0" memberValueDatatype="7" unbalanced="0"/>
    <cacheHierarchy uniqueName="[release_calendar].[Date Hierarchy]" caption="Date Hierarchy" time="1" defaultMemberUniqueName="[release_calendar].[Date Hierarchy].[All]" allUniqueName="[release_calendar].[Date Hierarchy].[All]" dimensionUniqueName="[release_calendar]" displayFolder="" count="0" unbalanced="0"/>
    <cacheHierarchy uniqueName="[release_calendar].[Year]" caption="Year" attribute="1" time="1" defaultMemberUniqueName="[release_calendar].[Year].[All]" allUniqueName="[release_calendar].[Year].[All]" dimensionUniqueName="[release_calendar]" displayFolder="" count="0" memberValueDatatype="20" unbalanced="0"/>
    <cacheHierarchy uniqueName="[release_calendar].[Month Number]" caption="Month Number" attribute="1" time="1" defaultMemberUniqueName="[release_calendar].[Month Number].[All]" allUniqueName="[release_calendar].[Month Number].[All]" dimensionUniqueName="[release_calendar]" displayFolder="" count="0" memberValueDatatype="20" unbalanced="0"/>
    <cacheHierarchy uniqueName="[release_calendar].[Month]" caption="Month" attribute="1" time="1" defaultMemberUniqueName="[release_calendar].[Month].[All]" allUniqueName="[release_calendar].[Month].[All]" dimensionUniqueName="[release_calendar]" displayFolder="" count="0" memberValueDatatype="130" unbalanced="0"/>
    <cacheHierarchy uniqueName="[release_calendar].[MMM-YYYY]" caption="MMM-YYYY" attribute="1" time="1" defaultMemberUniqueName="[release_calendar].[MMM-YYYY].[All]" allUniqueName="[release_calendar].[MMM-YYYY].[All]" dimensionUniqueName="[release_calendar]" displayFolder="" count="0" memberValueDatatype="130" unbalanced="0"/>
    <cacheHierarchy uniqueName="[release_calendar].[Day Of Week Number]" caption="Day Of Week Number" attribute="1" time="1" defaultMemberUniqueName="[release_calendar].[Day Of Week Number].[All]" allUniqueName="[release_calendar].[Day Of Week Number].[All]" dimensionUniqueName="[release_calendar]" displayFolder="" count="0" memberValueDatatype="20" unbalanced="0"/>
    <cacheHierarchy uniqueName="[release_calendar].[Day Of Week]" caption="Day Of Week" attribute="1" time="1" defaultMemberUniqueName="[release_calendar].[Day Of Week].[All]" allUniqueName="[release_calendar].[Day Of Week].[All]" dimensionUniqueName="[release_calendar]" displayFolder="" count="0" memberValueDatatype="130" unbalanced="0"/>
    <cacheHierarchy uniqueName="[steam_app_database].[appid]" caption="appid" attribute="1" defaultMemberUniqueName="[steam_app_database].[appid].[All]" allUniqueName="[steam_app_database].[appid].[All]" dimensionUniqueName="[steam_app_database]" displayFolder="" count="0" memberValueDatatype="130" unbalanced="0"/>
    <cacheHierarchy uniqueName="[steam_app_database].[name]" caption="name" attribute="1" defaultMemberUniqueName="[steam_app_database].[name].[All]" allUniqueName="[steam_app_database].[name].[All]" dimensionUniqueName="[steam_app_database]" displayFolder="" count="0" memberValueDatatype="130" unbalanced="0"/>
    <cacheHierarchy uniqueName="[steam_app_database].[releasedate]" caption="releasedate" attribute="1" time="1" defaultMemberUniqueName="[steam_app_database].[releasedate].[All]" allUniqueName="[steam_app_database].[releasedate].[All]" dimensionUniqueName="[steam_app_database]" displayFolder="" count="2" memberValueDatatype="7" unbalanced="0"/>
    <cacheHierarchy uniqueName="[steam_app_database].[is_free]" caption="is_free" attribute="1" defaultMemberUniqueName="[steam_app_database].[is_free].[All]" allUniqueName="[steam_app_database].[is_free].[All]" dimensionUniqueName="[steam_app_database]" displayFolder="" count="0" memberValueDatatype="130" unbalanced="0"/>
    <cacheHierarchy uniqueName="[steam_app_database].[price_usd]" caption="price_usd" attribute="1" defaultMemberUniqueName="[steam_app_database].[price_usd].[All]" allUniqueName="[steam_app_database].[price_usd].[All]" dimensionUniqueName="[steam_app_database]" displayFolder="" count="0" memberValueDatatype="5" unbalanced="0"/>
    <cacheHierarchy uniqueName="[steam_app_database].[genre]" caption="genre" attribute="1" defaultMemberUniqueName="[steam_app_database].[genre].[All]" allUniqueName="[steam_app_database].[genre].[All]" dimensionUniqueName="[steam_app_database]" displayFolder="" count="2" memberValueDatatype="130" unbalanced="0">
      <fieldsUsage count="2">
        <fieldUsage x="-1"/>
        <fieldUsage x="0"/>
      </fieldsUsage>
    </cacheHierarchy>
    <cacheHierarchy uniqueName="[steam_app_database].[achievement_count]" caption="achievement_count" attribute="1" defaultMemberUniqueName="[steam_app_database].[achievement_count].[All]" allUniqueName="[steam_app_database].[achievement_count].[All]" dimensionUniqueName="[steam_app_database]" displayFolder="" count="0" memberValueDatatype="20" unbalanced="0"/>
    <cacheHierarchy uniqueName="[steam_app_database].[developer]" caption="developer" attribute="1" defaultMemberUniqueName="[steam_app_database].[developer].[All]" allUniqueName="[steam_app_database].[developer].[All]" dimensionUniqueName="[steam_app_database]" displayFolder="" count="0" memberValueDatatype="130" unbalanced="0"/>
    <cacheHierarchy uniqueName="[steam_app_database].[publisher]" caption="publisher" attribute="1" defaultMemberUniqueName="[steam_app_database].[publisher].[All]" allUniqueName="[steam_app_database].[publisher].[All]" dimensionUniqueName="[steam_app_database]" displayFolder="" count="0" memberValueDatatype="130" unbalanced="0"/>
    <cacheHierarchy uniqueName="[steam_app_database].[player_count]" caption="player_count" attribute="1" defaultMemberUniqueName="[steam_app_database].[player_count].[All]" allUniqueName="[steam_app_database].[player_count].[All]" dimensionUniqueName="[steam_app_database]" displayFolder="" count="0" memberValueDatatype="20" unbalanced="0"/>
    <cacheHierarchy uniqueName="[steam_app_database].[review_score]" caption="review_score" attribute="1" defaultMemberUniqueName="[steam_app_database].[review_score].[All]" allUniqueName="[steam_app_database].[review_score].[All]" dimensionUniqueName="[steam_app_database]" displayFolder="" count="0" memberValueDatatype="20" unbalanced="0"/>
    <cacheHierarchy uniqueName="[steam_app_database].[review_score_desc]" caption="review_score_desc" attribute="1" defaultMemberUniqueName="[steam_app_database].[review_score_desc].[All]" allUniqueName="[steam_app_database].[review_score_desc].[All]" dimensionUniqueName="[steam_app_database]" displayFolder="" count="0" memberValueDatatype="130" unbalanced="0"/>
    <cacheHierarchy uniqueName="[steam_app_database].[total_positive]" caption="total_positive" attribute="1" defaultMemberUniqueName="[steam_app_database].[total_positive].[All]" allUniqueName="[steam_app_database].[total_positive].[All]" dimensionUniqueName="[steam_app_database]" displayFolder="" count="0" memberValueDatatype="20" unbalanced="0"/>
    <cacheHierarchy uniqueName="[steam_app_database].[total_negative]" caption="total_negative" attribute="1" defaultMemberUniqueName="[steam_app_database].[total_negative].[All]" allUniqueName="[steam_app_database].[total_negative].[All]" dimensionUniqueName="[steam_app_database]" displayFolder="" count="0" memberValueDatatype="20" unbalanced="0"/>
    <cacheHierarchy uniqueName="[steam_app_database].[total_reviews]" caption="total_reviews" attribute="1" defaultMemberUniqueName="[steam_app_database].[total_reviews].[All]" allUniqueName="[steam_app_database].[total_reviews].[All]" dimensionUniqueName="[steam_app_database]" displayFolder="" count="0" memberValueDatatype="20" unbalanced="0"/>
    <cacheHierarchy uniqueName="[steam_app_database].[free_or_paid]" caption="free_or_paid" attribute="1" defaultMemberUniqueName="[steam_app_database].[free_or_paid].[All]" allUniqueName="[steam_app_database].[free_or_paid].[All]" dimensionUniqueName="[steam_app_database]" displayFolder="" count="0" memberValueDatatype="130" unbalanced="0"/>
    <cacheHierarchy uniqueName="[Measures].[Player Count]" caption="Player Count" measure="1" displayFolder="" measureGroup="steam_app_database" count="0"/>
    <cacheHierarchy uniqueName="[Measures].[Game Count]" caption="Game Count" measure="1" displayFolder="" measureGroup="steam_app_database" count="0"/>
    <cacheHierarchy uniqueName="[Measures].[Average Game Price]" caption="Average Game Price" measure="1" displayFolder="" measureGroup="steam_app_database" count="0"/>
    <cacheHierarchy uniqueName="[Measures].[Positive Review Percentage]" caption="Positive Review Percentage" measure="1" displayFolder="" measureGroup="steam_app_database" count="0"/>
    <cacheHierarchy uniqueName="[Measures].[Negative Review Percentage]" caption="Negative Review Percentage" measure="1" displayFolder="" measureGroup="steam_app_database" count="0"/>
    <cacheHierarchy uniqueName="[Measures].[__XL_Count steam_app_database]" caption="__XL_Count steam_app_database" measure="1" displayFolder="" measureGroup="steam_app_database" count="0" hidden="1"/>
    <cacheHierarchy uniqueName="[Measures].[__XL_Count Calendar]" caption="__XL_Count Calendar" measure="1" displayFolder="" measureGroup="release_calendar" count="0" hidden="1"/>
    <cacheHierarchy uniqueName="[Measures].[__No measures defined]" caption="__No measures defined" measure="1" displayFolder="" count="0" hidden="1"/>
    <cacheHierarchy uniqueName="[Measures].[Count of player_count]" caption="Count of player_count" measure="1" displayFolder="" measureGroup="steam_app_database" count="0" hidden="1">
      <extLst>
        <ext xmlns:x15="http://schemas.microsoft.com/office/spreadsheetml/2010/11/main" uri="{B97F6D7D-B522-45F9-BDA1-12C45D357490}">
          <x15:cacheHierarchy aggregatedColumn="17"/>
        </ext>
      </extLst>
    </cacheHierarchy>
    <cacheHierarchy uniqueName="[Measures].[Count of name]" caption="Count of name" measure="1" displayFolder="" measureGroup="steam_app_database" count="0" hidden="1">
      <extLst>
        <ext xmlns:x15="http://schemas.microsoft.com/office/spreadsheetml/2010/11/main" uri="{B97F6D7D-B522-45F9-BDA1-12C45D357490}">
          <x15:cacheHierarchy aggregatedColumn="9"/>
        </ext>
      </extLst>
    </cacheHierarchy>
    <cacheHierarchy uniqueName="[Measures].[Sum of player_count]" caption="Sum of player_count" measure="1" displayFolder="" measureGroup="steam_app_database"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Year]" caption="Sum of Year" measure="1" displayFolder="" measureGroup="release_calendar" count="0" hidden="1">
      <extLst>
        <ext xmlns:x15="http://schemas.microsoft.com/office/spreadsheetml/2010/11/main" uri="{B97F6D7D-B522-45F9-BDA1-12C45D357490}">
          <x15:cacheHierarchy aggregatedColumn="2"/>
        </ext>
      </extLst>
    </cacheHierarchy>
    <cacheHierarchy uniqueName="[Measures].[Count of appid]" caption="Count of appid" measure="1" displayFolder="" measureGroup="steam_app_database" count="0" hidden="1">
      <extLst>
        <ext xmlns:x15="http://schemas.microsoft.com/office/spreadsheetml/2010/11/main" uri="{B97F6D7D-B522-45F9-BDA1-12C45D357490}">
          <x15:cacheHierarchy aggregatedColumn="8"/>
        </ext>
      </extLst>
    </cacheHierarchy>
    <cacheHierarchy uniqueName="[Measures].[Sum of price_usd]" caption="Sum of price_usd" measure="1" displayFolder="" measureGroup="steam_app_database" count="0" hidden="1">
      <extLst>
        <ext xmlns:x15="http://schemas.microsoft.com/office/spreadsheetml/2010/11/main" uri="{B97F6D7D-B522-45F9-BDA1-12C45D357490}">
          <x15:cacheHierarchy aggregatedColumn="12"/>
        </ext>
      </extLst>
    </cacheHierarchy>
    <cacheHierarchy uniqueName="[Measures].[Average of price_usd]" caption="Average of price_usd" measure="1" displayFolder="" measureGroup="steam_app_database" count="0" hidden="1">
      <extLst>
        <ext xmlns:x15="http://schemas.microsoft.com/office/spreadsheetml/2010/11/main" uri="{B97F6D7D-B522-45F9-BDA1-12C45D357490}">
          <x15:cacheHierarchy aggregatedColumn="12"/>
        </ext>
      </extLst>
    </cacheHierarchy>
    <cacheHierarchy uniqueName="[Measures].[Sum of review_score]" caption="Sum of review_score" measure="1" displayFolder="" measureGroup="steam_app_database" count="0" hidden="1">
      <extLst>
        <ext xmlns:x15="http://schemas.microsoft.com/office/spreadsheetml/2010/11/main" uri="{B97F6D7D-B522-45F9-BDA1-12C45D357490}">
          <x15:cacheHierarchy aggregatedColumn="18"/>
        </ext>
      </extLst>
    </cacheHierarchy>
    <cacheHierarchy uniqueName="[Measures].[Sum of total_positive]" caption="Sum of total_positive" measure="1" displayFolder="" measureGroup="steam_app_database" count="0" hidden="1">
      <extLst>
        <ext xmlns:x15="http://schemas.microsoft.com/office/spreadsheetml/2010/11/main" uri="{B97F6D7D-B522-45F9-BDA1-12C45D357490}">
          <x15:cacheHierarchy aggregatedColumn="20"/>
        </ext>
      </extLst>
    </cacheHierarchy>
    <cacheHierarchy uniqueName="[Measures].[Sum of total_reviews]" caption="Sum of total_reviews" measure="1" displayFolder="" measureGroup="steam_app_database" count="0" hidden="1">
      <extLst>
        <ext xmlns:x15="http://schemas.microsoft.com/office/spreadsheetml/2010/11/main" uri="{B97F6D7D-B522-45F9-BDA1-12C45D357490}">
          <x15:cacheHierarchy aggregatedColumn="22"/>
        </ext>
      </extLst>
    </cacheHierarchy>
    <cacheHierarchy uniqueName="[Measures].[Sum of total_negative]" caption="Sum of total_negative" measure="1" displayFolder="" measureGroup="steam_app_database" count="0" hidden="1">
      <extLst>
        <ext xmlns:x15="http://schemas.microsoft.com/office/spreadsheetml/2010/11/main" uri="{B97F6D7D-B522-45F9-BDA1-12C45D357490}">
          <x15:cacheHierarchy aggregatedColumn="21"/>
        </ext>
      </extLst>
    </cacheHierarchy>
    <cacheHierarchy uniqueName="[Measures].[Average of player_count]" caption="Average of player_count" measure="1" displayFolder="" measureGroup="steam_app_database" count="0" hidden="1">
      <extLst>
        <ext xmlns:x15="http://schemas.microsoft.com/office/spreadsheetml/2010/11/main" uri="{B97F6D7D-B522-45F9-BDA1-12C45D357490}">
          <x15:cacheHierarchy aggregatedColumn="17"/>
        </ext>
      </extLst>
    </cacheHierarchy>
    <cacheHierarchy uniqueName="[Measures].[Count of genre]" caption="Count of genre" measure="1" displayFolder="" measureGroup="steam_app_database" count="0" hidden="1">
      <extLst>
        <ext xmlns:x15="http://schemas.microsoft.com/office/spreadsheetml/2010/11/main" uri="{B97F6D7D-B522-45F9-BDA1-12C45D357490}">
          <x15:cacheHierarchy aggregatedColumn="13"/>
        </ext>
      </extLst>
    </cacheHierarchy>
  </cacheHierarchies>
  <kpis count="0"/>
  <dimensions count="3">
    <dimension measure="1" name="Measures" uniqueName="[Measures]" caption="Measures"/>
    <dimension name="release_calendar" uniqueName="[release_calendar]" caption="release_calendar"/>
    <dimension name="steam_app_database" uniqueName="[steam_app_database]" caption="steam_app_database"/>
  </dimensions>
  <measureGroups count="2">
    <measureGroup name="release_calendar" caption="release_calendar"/>
    <measureGroup name="steam_app_database" caption="steam_app_database"/>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ngston Stewart" refreshedDate="46267.744220601853" backgroundQuery="1" createdVersion="8" refreshedVersion="8" minRefreshableVersion="3" recordCount="0" supportSubquery="1" supportAdvancedDrill="1" xr:uid="{DC138EBD-FF2D-4F19-A781-0C964966921A}">
  <cacheSource type="external" connectionId="4"/>
  <cacheFields count="3">
    <cacheField name="[release_calendar].[Year].[Year]" caption="Year" numFmtId="0" hierarchy="2" level="1">
      <sharedItems containsSemiMixedTypes="0" containsString="0" containsNumber="1" containsInteger="1" minValue="1998" maxValue="2025" count="24">
        <n v="1998"/>
        <n v="2000"/>
        <n v="2004"/>
        <n v="2005"/>
        <n v="2006"/>
        <n v="2007"/>
        <n v="2008"/>
        <n v="2009"/>
        <n v="2010"/>
        <n v="2011"/>
        <n v="2012"/>
        <n v="2013"/>
        <n v="2014"/>
        <n v="2015"/>
        <n v="2016"/>
        <n v="2017"/>
        <n v="2018"/>
        <n v="2019"/>
        <n v="2020"/>
        <n v="2021"/>
        <n v="2022"/>
        <n v="2023"/>
        <n v="2024"/>
        <n v="2025"/>
      </sharedItems>
      <extLst>
        <ext xmlns:x15="http://schemas.microsoft.com/office/spreadsheetml/2010/11/main" uri="{4F2E5C28-24EA-4eb8-9CBF-B6C8F9C3D259}">
          <x15:cachedUniqueNames>
            <x15:cachedUniqueName index="0" name="[release_calendar].[Year].&amp;[1998]"/>
            <x15:cachedUniqueName index="1" name="[release_calendar].[Year].&amp;[2000]"/>
            <x15:cachedUniqueName index="2" name="[release_calendar].[Year].&amp;[2004]"/>
            <x15:cachedUniqueName index="3" name="[release_calendar].[Year].&amp;[2005]"/>
            <x15:cachedUniqueName index="4" name="[release_calendar].[Year].&amp;[2006]"/>
            <x15:cachedUniqueName index="5" name="[release_calendar].[Year].&amp;[2007]"/>
            <x15:cachedUniqueName index="6" name="[release_calendar].[Year].&amp;[2008]"/>
            <x15:cachedUniqueName index="7" name="[release_calendar].[Year].&amp;[2009]"/>
            <x15:cachedUniqueName index="8" name="[release_calendar].[Year].&amp;[2010]"/>
            <x15:cachedUniqueName index="9" name="[release_calendar].[Year].&amp;[2011]"/>
            <x15:cachedUniqueName index="10" name="[release_calendar].[Year].&amp;[2012]"/>
            <x15:cachedUniqueName index="11" name="[release_calendar].[Year].&amp;[2013]"/>
            <x15:cachedUniqueName index="12" name="[release_calendar].[Year].&amp;[2014]"/>
            <x15:cachedUniqueName index="13" name="[release_calendar].[Year].&amp;[2015]"/>
            <x15:cachedUniqueName index="14" name="[release_calendar].[Year].&amp;[2016]"/>
            <x15:cachedUniqueName index="15" name="[release_calendar].[Year].&amp;[2017]"/>
            <x15:cachedUniqueName index="16" name="[release_calendar].[Year].&amp;[2018]"/>
            <x15:cachedUniqueName index="17" name="[release_calendar].[Year].&amp;[2019]"/>
            <x15:cachedUniqueName index="18" name="[release_calendar].[Year].&amp;[2020]"/>
            <x15:cachedUniqueName index="19" name="[release_calendar].[Year].&amp;[2021]"/>
            <x15:cachedUniqueName index="20" name="[release_calendar].[Year].&amp;[2022]"/>
            <x15:cachedUniqueName index="21" name="[release_calendar].[Year].&amp;[2023]"/>
            <x15:cachedUniqueName index="22" name="[release_calendar].[Year].&amp;[2024]"/>
            <x15:cachedUniqueName index="23" name="[release_calendar].[Year].&amp;[2025]"/>
          </x15:cachedUniqueNames>
        </ext>
      </extLst>
    </cacheField>
    <cacheField name="[Measures].[Player Count]" caption="Player Count" numFmtId="0" hierarchy="24" level="32767"/>
    <cacheField name="Unsupported0" numFmtId="0" hierarchy="46" level="32767">
      <extLst>
        <ext xmlns:x14="http://schemas.microsoft.com/office/spreadsheetml/2009/9/main" uri="{63CAB8AC-B538-458d-9737-405883B0398D}">
          <x14:cacheField ignore="1"/>
        </ext>
      </extLst>
    </cacheField>
  </cacheFields>
  <cacheHierarchies count="47">
    <cacheHierarchy uniqueName="[release_calendar].[Date]" caption="Date" attribute="1" time="1" keyAttribute="1" defaultMemberUniqueName="[release_calendar].[Date].[All]" allUniqueName="[release_calendar].[Date].[All]" dimensionUniqueName="[release_calendar]" displayFolder="" count="0" memberValueDatatype="7" unbalanced="0"/>
    <cacheHierarchy uniqueName="[release_calendar].[Date Hierarchy]" caption="Date Hierarchy" time="1" defaultMemberUniqueName="[release_calendar].[Date Hierarchy].[All]" allUniqueName="[release_calendar].[Date Hierarchy].[All]" dimensionUniqueName="[release_calendar]" displayFolder="" count="0" unbalanced="0"/>
    <cacheHierarchy uniqueName="[release_calendar].[Year]" caption="Year" attribute="1" time="1" defaultMemberUniqueName="[release_calendar].[Year].[All]" allUniqueName="[release_calendar].[Year].[All]" dimensionUniqueName="[release_calendar]" displayFolder="" count="2" memberValueDatatype="20" unbalanced="0">
      <fieldsUsage count="2">
        <fieldUsage x="-1"/>
        <fieldUsage x="0"/>
      </fieldsUsage>
    </cacheHierarchy>
    <cacheHierarchy uniqueName="[release_calendar].[Month Number]" caption="Month Number" attribute="1" time="1" defaultMemberUniqueName="[release_calendar].[Month Number].[All]" allUniqueName="[release_calendar].[Month Number].[All]" dimensionUniqueName="[release_calendar]" displayFolder="" count="0" memberValueDatatype="20" unbalanced="0"/>
    <cacheHierarchy uniqueName="[release_calendar].[Month]" caption="Month" attribute="1" time="1" defaultMemberUniqueName="[release_calendar].[Month].[All]" allUniqueName="[release_calendar].[Month].[All]" dimensionUniqueName="[release_calendar]" displayFolder="" count="0" memberValueDatatype="130" unbalanced="0"/>
    <cacheHierarchy uniqueName="[release_calendar].[MMM-YYYY]" caption="MMM-YYYY" attribute="1" time="1" defaultMemberUniqueName="[release_calendar].[MMM-YYYY].[All]" allUniqueName="[release_calendar].[MMM-YYYY].[All]" dimensionUniqueName="[release_calendar]" displayFolder="" count="0" memberValueDatatype="130" unbalanced="0"/>
    <cacheHierarchy uniqueName="[release_calendar].[Day Of Week Number]" caption="Day Of Week Number" attribute="1" time="1" defaultMemberUniqueName="[release_calendar].[Day Of Week Number].[All]" allUniqueName="[release_calendar].[Day Of Week Number].[All]" dimensionUniqueName="[release_calendar]" displayFolder="" count="0" memberValueDatatype="20" unbalanced="0"/>
    <cacheHierarchy uniqueName="[release_calendar].[Day Of Week]" caption="Day Of Week" attribute="1" time="1" defaultMemberUniqueName="[release_calendar].[Day Of Week].[All]" allUniqueName="[release_calendar].[Day Of Week].[All]" dimensionUniqueName="[release_calendar]" displayFolder="" count="0" memberValueDatatype="130" unbalanced="0"/>
    <cacheHierarchy uniqueName="[steam_app_database].[appid]" caption="appid" attribute="1" defaultMemberUniqueName="[steam_app_database].[appid].[All]" allUniqueName="[steam_app_database].[appid].[All]" dimensionUniqueName="[steam_app_database]" displayFolder="" count="0" memberValueDatatype="130" unbalanced="0"/>
    <cacheHierarchy uniqueName="[steam_app_database].[name]" caption="name" attribute="1" defaultMemberUniqueName="[steam_app_database].[name].[All]" allUniqueName="[steam_app_database].[name].[All]" dimensionUniqueName="[steam_app_database]" displayFolder="" count="0" memberValueDatatype="130" unbalanced="0"/>
    <cacheHierarchy uniqueName="[steam_app_database].[releasedate]" caption="releasedate" attribute="1" time="1" defaultMemberUniqueName="[steam_app_database].[releasedate].[All]" allUniqueName="[steam_app_database].[releasedate].[All]" dimensionUniqueName="[steam_app_database]" displayFolder="" count="0" memberValueDatatype="7" unbalanced="0"/>
    <cacheHierarchy uniqueName="[steam_app_database].[is_free]" caption="is_free" attribute="1" defaultMemberUniqueName="[steam_app_database].[is_free].[All]" allUniqueName="[steam_app_database].[is_free].[All]" dimensionUniqueName="[steam_app_database]" displayFolder="" count="0" memberValueDatatype="130" unbalanced="0"/>
    <cacheHierarchy uniqueName="[steam_app_database].[price_usd]" caption="price_usd" attribute="1" defaultMemberUniqueName="[steam_app_database].[price_usd].[All]" allUniqueName="[steam_app_database].[price_usd].[All]" dimensionUniqueName="[steam_app_database]" displayFolder="" count="0" memberValueDatatype="5" unbalanced="0"/>
    <cacheHierarchy uniqueName="[steam_app_database].[genre]" caption="genre" attribute="1" defaultMemberUniqueName="[steam_app_database].[genre].[All]" allUniqueName="[steam_app_database].[genre].[All]" dimensionUniqueName="[steam_app_database]" displayFolder="" count="0" memberValueDatatype="130" unbalanced="0"/>
    <cacheHierarchy uniqueName="[steam_app_database].[achievement_count]" caption="achievement_count" attribute="1" defaultMemberUniqueName="[steam_app_database].[achievement_count].[All]" allUniqueName="[steam_app_database].[achievement_count].[All]" dimensionUniqueName="[steam_app_database]" displayFolder="" count="0" memberValueDatatype="20" unbalanced="0"/>
    <cacheHierarchy uniqueName="[steam_app_database].[developer]" caption="developer" attribute="1" defaultMemberUniqueName="[steam_app_database].[developer].[All]" allUniqueName="[steam_app_database].[developer].[All]" dimensionUniqueName="[steam_app_database]" displayFolder="" count="0" memberValueDatatype="130" unbalanced="0"/>
    <cacheHierarchy uniqueName="[steam_app_database].[publisher]" caption="publisher" attribute="1" defaultMemberUniqueName="[steam_app_database].[publisher].[All]" allUniqueName="[steam_app_database].[publisher].[All]" dimensionUniqueName="[steam_app_database]" displayFolder="" count="0" memberValueDatatype="130" unbalanced="0"/>
    <cacheHierarchy uniqueName="[steam_app_database].[player_count]" caption="player_count" attribute="1" defaultMemberUniqueName="[steam_app_database].[player_count].[All]" allUniqueName="[steam_app_database].[player_count].[All]" dimensionUniqueName="[steam_app_database]" displayFolder="" count="0" memberValueDatatype="20" unbalanced="0"/>
    <cacheHierarchy uniqueName="[steam_app_database].[review_score]" caption="review_score" attribute="1" defaultMemberUniqueName="[steam_app_database].[review_score].[All]" allUniqueName="[steam_app_database].[review_score].[All]" dimensionUniqueName="[steam_app_database]" displayFolder="" count="0" memberValueDatatype="20" unbalanced="0"/>
    <cacheHierarchy uniqueName="[steam_app_database].[review_score_desc]" caption="review_score_desc" attribute="1" defaultMemberUniqueName="[steam_app_database].[review_score_desc].[All]" allUniqueName="[steam_app_database].[review_score_desc].[All]" dimensionUniqueName="[steam_app_database]" displayFolder="" count="0" memberValueDatatype="130" unbalanced="0"/>
    <cacheHierarchy uniqueName="[steam_app_database].[total_positive]" caption="total_positive" attribute="1" defaultMemberUniqueName="[steam_app_database].[total_positive].[All]" allUniqueName="[steam_app_database].[total_positive].[All]" dimensionUniqueName="[steam_app_database]" displayFolder="" count="0" memberValueDatatype="20" unbalanced="0"/>
    <cacheHierarchy uniqueName="[steam_app_database].[total_negative]" caption="total_negative" attribute="1" defaultMemberUniqueName="[steam_app_database].[total_negative].[All]" allUniqueName="[steam_app_database].[total_negative].[All]" dimensionUniqueName="[steam_app_database]" displayFolder="" count="0" memberValueDatatype="20" unbalanced="0"/>
    <cacheHierarchy uniqueName="[steam_app_database].[total_reviews]" caption="total_reviews" attribute="1" defaultMemberUniqueName="[steam_app_database].[total_reviews].[All]" allUniqueName="[steam_app_database].[total_reviews].[All]" dimensionUniqueName="[steam_app_database]" displayFolder="" count="0" memberValueDatatype="20" unbalanced="0"/>
    <cacheHierarchy uniqueName="[steam_app_database].[free_or_paid]" caption="free_or_paid" attribute="1" defaultMemberUniqueName="[steam_app_database].[free_or_paid].[All]" allUniqueName="[steam_app_database].[free_or_paid].[All]" dimensionUniqueName="[steam_app_database]" displayFolder="" count="0" memberValueDatatype="130" unbalanced="0"/>
    <cacheHierarchy uniqueName="[Measures].[Player Count]" caption="Player Count" measure="1" displayFolder="" measureGroup="steam_app_database" count="0" oneField="1">
      <fieldsUsage count="1">
        <fieldUsage x="1"/>
      </fieldsUsage>
    </cacheHierarchy>
    <cacheHierarchy uniqueName="[Measures].[Game Count]" caption="Game Count" measure="1" displayFolder="" measureGroup="steam_app_database" count="0"/>
    <cacheHierarchy uniqueName="[Measures].[Average Game Price]" caption="Average Game Price" measure="1" displayFolder="" measureGroup="steam_app_database" count="0"/>
    <cacheHierarchy uniqueName="[Measures].[Positive Review Percentage]" caption="Positive Review Percentage" measure="1" displayFolder="" measureGroup="steam_app_database" count="0"/>
    <cacheHierarchy uniqueName="[Measures].[Negative Review Percentage]" caption="Negative Review Percentage" measure="1" displayFolder="" measureGroup="steam_app_database" count="0"/>
    <cacheHierarchy uniqueName="[Measures].[__XL_Count steam_app_database]" caption="__XL_Count steam_app_database" measure="1" displayFolder="" measureGroup="steam_app_database" count="0" hidden="1"/>
    <cacheHierarchy uniqueName="[Measures].[__XL_Count Calendar]" caption="__XL_Count Calendar" measure="1" displayFolder="" measureGroup="release_calendar" count="0" hidden="1"/>
    <cacheHierarchy uniqueName="[Measures].[__No measures defined]" caption="__No measures defined" measure="1" displayFolder="" count="0" hidden="1"/>
    <cacheHierarchy uniqueName="[Measures].[Count of player_count]" caption="Count of player_count" measure="1" displayFolder="" measureGroup="steam_app_database" count="0" hidden="1">
      <extLst>
        <ext xmlns:x15="http://schemas.microsoft.com/office/spreadsheetml/2010/11/main" uri="{B97F6D7D-B522-45F9-BDA1-12C45D357490}">
          <x15:cacheHierarchy aggregatedColumn="17"/>
        </ext>
      </extLst>
    </cacheHierarchy>
    <cacheHierarchy uniqueName="[Measures].[Count of name]" caption="Count of name" measure="1" displayFolder="" measureGroup="steam_app_database" count="0" hidden="1">
      <extLst>
        <ext xmlns:x15="http://schemas.microsoft.com/office/spreadsheetml/2010/11/main" uri="{B97F6D7D-B522-45F9-BDA1-12C45D357490}">
          <x15:cacheHierarchy aggregatedColumn="9"/>
        </ext>
      </extLst>
    </cacheHierarchy>
    <cacheHierarchy uniqueName="[Measures].[Sum of player_count]" caption="Sum of player_count" measure="1" displayFolder="" measureGroup="steam_app_database" count="0" hidden="1">
      <extLst>
        <ext xmlns:x15="http://schemas.microsoft.com/office/spreadsheetml/2010/11/main" uri="{B97F6D7D-B522-45F9-BDA1-12C45D357490}">
          <x15:cacheHierarchy aggregatedColumn="17"/>
        </ext>
      </extLst>
    </cacheHierarchy>
    <cacheHierarchy uniqueName="[Measures].[Sum of Year]" caption="Sum of Year" measure="1" displayFolder="" measureGroup="release_calendar" count="0" hidden="1">
      <extLst>
        <ext xmlns:x15="http://schemas.microsoft.com/office/spreadsheetml/2010/11/main" uri="{B97F6D7D-B522-45F9-BDA1-12C45D357490}">
          <x15:cacheHierarchy aggregatedColumn="2"/>
        </ext>
      </extLst>
    </cacheHierarchy>
    <cacheHierarchy uniqueName="[Measures].[Count of appid]" caption="Count of appid" measure="1" displayFolder="" measureGroup="steam_app_database" count="0" hidden="1">
      <extLst>
        <ext xmlns:x15="http://schemas.microsoft.com/office/spreadsheetml/2010/11/main" uri="{B97F6D7D-B522-45F9-BDA1-12C45D357490}">
          <x15:cacheHierarchy aggregatedColumn="8"/>
        </ext>
      </extLst>
    </cacheHierarchy>
    <cacheHierarchy uniqueName="[Measures].[Sum of price_usd]" caption="Sum of price_usd" measure="1" displayFolder="" measureGroup="steam_app_database" count="0" hidden="1">
      <extLst>
        <ext xmlns:x15="http://schemas.microsoft.com/office/spreadsheetml/2010/11/main" uri="{B97F6D7D-B522-45F9-BDA1-12C45D357490}">
          <x15:cacheHierarchy aggregatedColumn="12"/>
        </ext>
      </extLst>
    </cacheHierarchy>
    <cacheHierarchy uniqueName="[Measures].[Average of price_usd]" caption="Average of price_usd" measure="1" displayFolder="" measureGroup="steam_app_database" count="0" hidden="1">
      <extLst>
        <ext xmlns:x15="http://schemas.microsoft.com/office/spreadsheetml/2010/11/main" uri="{B97F6D7D-B522-45F9-BDA1-12C45D357490}">
          <x15:cacheHierarchy aggregatedColumn="12"/>
        </ext>
      </extLst>
    </cacheHierarchy>
    <cacheHierarchy uniqueName="[Measures].[Sum of review_score]" caption="Sum of review_score" measure="1" displayFolder="" measureGroup="steam_app_database" count="0" hidden="1">
      <extLst>
        <ext xmlns:x15="http://schemas.microsoft.com/office/spreadsheetml/2010/11/main" uri="{B97F6D7D-B522-45F9-BDA1-12C45D357490}">
          <x15:cacheHierarchy aggregatedColumn="18"/>
        </ext>
      </extLst>
    </cacheHierarchy>
    <cacheHierarchy uniqueName="[Measures].[Sum of total_positive]" caption="Sum of total_positive" measure="1" displayFolder="" measureGroup="steam_app_database" count="0" hidden="1">
      <extLst>
        <ext xmlns:x15="http://schemas.microsoft.com/office/spreadsheetml/2010/11/main" uri="{B97F6D7D-B522-45F9-BDA1-12C45D357490}">
          <x15:cacheHierarchy aggregatedColumn="20"/>
        </ext>
      </extLst>
    </cacheHierarchy>
    <cacheHierarchy uniqueName="[Measures].[Sum of total_reviews]" caption="Sum of total_reviews" measure="1" displayFolder="" measureGroup="steam_app_database" count="0" hidden="1">
      <extLst>
        <ext xmlns:x15="http://schemas.microsoft.com/office/spreadsheetml/2010/11/main" uri="{B97F6D7D-B522-45F9-BDA1-12C45D357490}">
          <x15:cacheHierarchy aggregatedColumn="22"/>
        </ext>
      </extLst>
    </cacheHierarchy>
    <cacheHierarchy uniqueName="[Measures].[Sum of total_negative]" caption="Sum of total_negative" measure="1" displayFolder="" measureGroup="steam_app_database" count="0" hidden="1">
      <extLst>
        <ext xmlns:x15="http://schemas.microsoft.com/office/spreadsheetml/2010/11/main" uri="{B97F6D7D-B522-45F9-BDA1-12C45D357490}">
          <x15:cacheHierarchy aggregatedColumn="21"/>
        </ext>
      </extLst>
    </cacheHierarchy>
    <cacheHierarchy uniqueName="[Measures].[Average of player_count]" caption="Average of player_count" measure="1" displayFolder="" measureGroup="steam_app_database" count="0" hidden="1">
      <extLst>
        <ext xmlns:x15="http://schemas.microsoft.com/office/spreadsheetml/2010/11/main" uri="{B97F6D7D-B522-45F9-BDA1-12C45D357490}">
          <x15:cacheHierarchy aggregatedColumn="17"/>
        </ext>
      </extLst>
    </cacheHierarchy>
    <cacheHierarchy uniqueName="[Measures].[Count of genre]" caption="Count of genre" measure="1" displayFolder="" measureGroup="steam_app_database" count="0" hidden="1">
      <extLst>
        <ext xmlns:x15="http://schemas.microsoft.com/office/spreadsheetml/2010/11/main" uri="{B97F6D7D-B522-45F9-BDA1-12C45D357490}">
          <x15:cacheHierarchy aggregatedColumn="13"/>
        </ext>
      </extLst>
    </cacheHierarchy>
    <cacheHierarchy uniqueName="[Measures].[Count of free_or_paid]" caption="Count of free_or_paid" measure="1" displayFolder="" measureGroup="steam_app_database" count="0" hidden="1">
      <extLst>
        <ext xmlns:x15="http://schemas.microsoft.com/office/spreadsheetml/2010/11/main" uri="{B97F6D7D-B522-45F9-BDA1-12C45D357490}">
          <x15:cacheHierarchy aggregatedColumn="23"/>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measure="1" name="Measures" uniqueName="[Measures]" caption="Measures"/>
    <dimension name="release_calendar" uniqueName="[release_calendar]" caption="release_calendar"/>
    <dimension name="steam_app_database" uniqueName="[steam_app_database]" caption="steam_app_database"/>
  </dimensions>
  <measureGroups count="2">
    <measureGroup name="release_calendar" caption="release_calendar"/>
    <measureGroup name="steam_app_database" caption="steam_app_database"/>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ngston Stewart" refreshedDate="46268.586123842593" backgroundQuery="1" createdVersion="8" refreshedVersion="8" minRefreshableVersion="3" recordCount="0" supportSubquery="1" supportAdvancedDrill="1" xr:uid="{2AB157BF-3413-4E4E-8CA2-5FD52C54AE06}">
  <cacheSource type="external" connectionId="4"/>
  <cacheFields count="4">
    <cacheField name="[steam_app_database].[name].[name]" caption="name" numFmtId="0" hierarchy="9" level="1">
      <sharedItems count="10">
        <s v="7 Days to Die"/>
        <s v="Baldur's Gate 3"/>
        <s v="Don't Starve Together"/>
        <s v="Football Manager 26"/>
        <s v="Hearts of Iron IV"/>
        <s v="Mount &amp; Blade II: Bannerlord"/>
        <s v="RimWorld"/>
        <s v="Satisfactory"/>
        <s v="Sid Meier’s Civilization® VI"/>
        <s v="Total War: WARHAMMER III"/>
      </sharedItems>
    </cacheField>
    <cacheField name="[Measures].[Sum of player_count]" caption="Sum of player_count" numFmtId="0" hierarchy="34" level="32767"/>
    <cacheField name="[Measures].[Average Game Price]" caption="Average Game Price" numFmtId="0" hierarchy="26" level="32767"/>
    <cacheField name="[steam_app_database].[genre].[genre]" caption="genre" numFmtId="0" hierarchy="13" level="1">
      <sharedItems containsSemiMixedTypes="0" containsNonDate="0" containsString="0"/>
    </cacheField>
  </cacheFields>
  <cacheHierarchies count="46">
    <cacheHierarchy uniqueName="[release_calendar].[Date]" caption="Date" attribute="1" time="1" keyAttribute="1" defaultMemberUniqueName="[release_calendar].[Date].[All]" allUniqueName="[release_calendar].[Date].[All]" dimensionUniqueName="[release_calendar]" displayFolder="" count="2" memberValueDatatype="7" unbalanced="0"/>
    <cacheHierarchy uniqueName="[release_calendar].[Date Hierarchy]" caption="Date Hierarchy" time="1" defaultMemberUniqueName="[release_calendar].[Date Hierarchy].[All]" allUniqueName="[release_calendar].[Date Hierarchy].[All]" dimensionUniqueName="[release_calendar]" displayFolder="" count="0" unbalanced="0"/>
    <cacheHierarchy uniqueName="[release_calendar].[Year]" caption="Year" attribute="1" time="1" defaultMemberUniqueName="[release_calendar].[Year].[All]" allUniqueName="[release_calendar].[Year].[All]" dimensionUniqueName="[release_calendar]" displayFolder="" count="0" memberValueDatatype="20" unbalanced="0"/>
    <cacheHierarchy uniqueName="[release_calendar].[Month Number]" caption="Month Number" attribute="1" time="1" defaultMemberUniqueName="[release_calendar].[Month Number].[All]" allUniqueName="[release_calendar].[Month Number].[All]" dimensionUniqueName="[release_calendar]" displayFolder="" count="0" memberValueDatatype="20" unbalanced="0"/>
    <cacheHierarchy uniqueName="[release_calendar].[Month]" caption="Month" attribute="1" time="1" defaultMemberUniqueName="[release_calendar].[Month].[All]" allUniqueName="[release_calendar].[Month].[All]" dimensionUniqueName="[release_calendar]" displayFolder="" count="0" memberValueDatatype="130" unbalanced="0"/>
    <cacheHierarchy uniqueName="[release_calendar].[MMM-YYYY]" caption="MMM-YYYY" attribute="1" time="1" defaultMemberUniqueName="[release_calendar].[MMM-YYYY].[All]" allUniqueName="[release_calendar].[MMM-YYYY].[All]" dimensionUniqueName="[release_calendar]" displayFolder="" count="0" memberValueDatatype="130" unbalanced="0"/>
    <cacheHierarchy uniqueName="[release_calendar].[Day Of Week Number]" caption="Day Of Week Number" attribute="1" time="1" defaultMemberUniqueName="[release_calendar].[Day Of Week Number].[All]" allUniqueName="[release_calendar].[Day Of Week Number].[All]" dimensionUniqueName="[release_calendar]" displayFolder="" count="0" memberValueDatatype="20" unbalanced="0"/>
    <cacheHierarchy uniqueName="[release_calendar].[Day Of Week]" caption="Day Of Week" attribute="1" time="1" defaultMemberUniqueName="[release_calendar].[Day Of Week].[All]" allUniqueName="[release_calendar].[Day Of Week].[All]" dimensionUniqueName="[release_calendar]" displayFolder="" count="0" memberValueDatatype="130" unbalanced="0"/>
    <cacheHierarchy uniqueName="[steam_app_database].[appid]" caption="appid" attribute="1" defaultMemberUniqueName="[steam_app_database].[appid].[All]" allUniqueName="[steam_app_database].[appid].[All]" dimensionUniqueName="[steam_app_database]" displayFolder="" count="0" memberValueDatatype="130" unbalanced="0"/>
    <cacheHierarchy uniqueName="[steam_app_database].[name]" caption="name" attribute="1" defaultMemberUniqueName="[steam_app_database].[name].[All]" allUniqueName="[steam_app_database].[name].[All]" dimensionUniqueName="[steam_app_database]" displayFolder="" count="2" memberValueDatatype="130" unbalanced="0">
      <fieldsUsage count="2">
        <fieldUsage x="-1"/>
        <fieldUsage x="0"/>
      </fieldsUsage>
    </cacheHierarchy>
    <cacheHierarchy uniqueName="[steam_app_database].[releasedate]" caption="releasedate" attribute="1" time="1" defaultMemberUniqueName="[steam_app_database].[releasedate].[All]" allUniqueName="[steam_app_database].[releasedate].[All]" dimensionUniqueName="[steam_app_database]" displayFolder="" count="0" memberValueDatatype="7" unbalanced="0"/>
    <cacheHierarchy uniqueName="[steam_app_database].[is_free]" caption="is_free" attribute="1" defaultMemberUniqueName="[steam_app_database].[is_free].[All]" allUniqueName="[steam_app_database].[is_free].[All]" dimensionUniqueName="[steam_app_database]" displayFolder="" count="0" memberValueDatatype="130" unbalanced="0"/>
    <cacheHierarchy uniqueName="[steam_app_database].[price_usd]" caption="price_usd" attribute="1" defaultMemberUniqueName="[steam_app_database].[price_usd].[All]" allUniqueName="[steam_app_database].[price_usd].[All]" dimensionUniqueName="[steam_app_database]" displayFolder="" count="0" memberValueDatatype="5" unbalanced="0"/>
    <cacheHierarchy uniqueName="[steam_app_database].[genre]" caption="genre" attribute="1" defaultMemberUniqueName="[steam_app_database].[genre].[All]" allUniqueName="[steam_app_database].[genre].[All]" dimensionUniqueName="[steam_app_database]" displayFolder="" count="2" memberValueDatatype="130" unbalanced="0">
      <fieldsUsage count="2">
        <fieldUsage x="-1"/>
        <fieldUsage x="3"/>
      </fieldsUsage>
    </cacheHierarchy>
    <cacheHierarchy uniqueName="[steam_app_database].[achievement_count]" caption="achievement_count" attribute="1" defaultMemberUniqueName="[steam_app_database].[achievement_count].[All]" allUniqueName="[steam_app_database].[achievement_count].[All]" dimensionUniqueName="[steam_app_database]" displayFolder="" count="0" memberValueDatatype="20" unbalanced="0"/>
    <cacheHierarchy uniqueName="[steam_app_database].[developer]" caption="developer" attribute="1" defaultMemberUniqueName="[steam_app_database].[developer].[All]" allUniqueName="[steam_app_database].[developer].[All]" dimensionUniqueName="[steam_app_database]" displayFolder="" count="0" memberValueDatatype="130" unbalanced="0"/>
    <cacheHierarchy uniqueName="[steam_app_database].[publisher]" caption="publisher" attribute="1" defaultMemberUniqueName="[steam_app_database].[publisher].[All]" allUniqueName="[steam_app_database].[publisher].[All]" dimensionUniqueName="[steam_app_database]" displayFolder="" count="0" memberValueDatatype="130" unbalanced="0"/>
    <cacheHierarchy uniqueName="[steam_app_database].[player_count]" caption="player_count" attribute="1" defaultMemberUniqueName="[steam_app_database].[player_count].[All]" allUniqueName="[steam_app_database].[player_count].[All]" dimensionUniqueName="[steam_app_database]" displayFolder="" count="0" memberValueDatatype="20" unbalanced="0"/>
    <cacheHierarchy uniqueName="[steam_app_database].[review_score]" caption="review_score" attribute="1" defaultMemberUniqueName="[steam_app_database].[review_score].[All]" allUniqueName="[steam_app_database].[review_score].[All]" dimensionUniqueName="[steam_app_database]" displayFolder="" count="0" memberValueDatatype="20" unbalanced="0"/>
    <cacheHierarchy uniqueName="[steam_app_database].[review_score_desc]" caption="review_score_desc" attribute="1" defaultMemberUniqueName="[steam_app_database].[review_score_desc].[All]" allUniqueName="[steam_app_database].[review_score_desc].[All]" dimensionUniqueName="[steam_app_database]" displayFolder="" count="0" memberValueDatatype="130" unbalanced="0"/>
    <cacheHierarchy uniqueName="[steam_app_database].[total_positive]" caption="total_positive" attribute="1" defaultMemberUniqueName="[steam_app_database].[total_positive].[All]" allUniqueName="[steam_app_database].[total_positive].[All]" dimensionUniqueName="[steam_app_database]" displayFolder="" count="0" memberValueDatatype="20" unbalanced="0"/>
    <cacheHierarchy uniqueName="[steam_app_database].[total_negative]" caption="total_negative" attribute="1" defaultMemberUniqueName="[steam_app_database].[total_negative].[All]" allUniqueName="[steam_app_database].[total_negative].[All]" dimensionUniqueName="[steam_app_database]" displayFolder="" count="0" memberValueDatatype="20" unbalanced="0"/>
    <cacheHierarchy uniqueName="[steam_app_database].[total_reviews]" caption="total_reviews" attribute="1" defaultMemberUniqueName="[steam_app_database].[total_reviews].[All]" allUniqueName="[steam_app_database].[total_reviews].[All]" dimensionUniqueName="[steam_app_database]" displayFolder="" count="0" memberValueDatatype="20" unbalanced="0"/>
    <cacheHierarchy uniqueName="[steam_app_database].[free_or_paid]" caption="free_or_paid" attribute="1" defaultMemberUniqueName="[steam_app_database].[free_or_paid].[All]" allUniqueName="[steam_app_database].[free_or_paid].[All]" dimensionUniqueName="[steam_app_database]" displayFolder="" count="2" memberValueDatatype="130" unbalanced="0"/>
    <cacheHierarchy uniqueName="[Measures].[Player Count]" caption="Player Count" measure="1" displayFolder="" measureGroup="steam_app_database" count="0"/>
    <cacheHierarchy uniqueName="[Measures].[Game Count]" caption="Game Count" measure="1" displayFolder="" measureGroup="steam_app_database" count="0"/>
    <cacheHierarchy uniqueName="[Measures].[Average Game Price]" caption="Average Game Price" measure="1" displayFolder="" measureGroup="steam_app_database" count="0" oneField="1">
      <fieldsUsage count="1">
        <fieldUsage x="2"/>
      </fieldsUsage>
    </cacheHierarchy>
    <cacheHierarchy uniqueName="[Measures].[Positive Review Percentage]" caption="Positive Review Percentage" measure="1" displayFolder="" measureGroup="steam_app_database" count="0"/>
    <cacheHierarchy uniqueName="[Measures].[Negative Review Percentage]" caption="Negative Review Percentage" measure="1" displayFolder="" measureGroup="steam_app_database" count="0"/>
    <cacheHierarchy uniqueName="[Measures].[__XL_Count steam_app_database]" caption="__XL_Count steam_app_database" measure="1" displayFolder="" measureGroup="steam_app_database" count="0" hidden="1"/>
    <cacheHierarchy uniqueName="[Measures].[__XL_Count Calendar]" caption="__XL_Count Calendar" measure="1" displayFolder="" measureGroup="release_calendar" count="0" hidden="1"/>
    <cacheHierarchy uniqueName="[Measures].[__No measures defined]" caption="__No measures defined" measure="1" displayFolder="" count="0" hidden="1"/>
    <cacheHierarchy uniqueName="[Measures].[Count of player_count]" caption="Count of player_count" measure="1" displayFolder="" measureGroup="steam_app_database" count="0" hidden="1">
      <extLst>
        <ext xmlns:x15="http://schemas.microsoft.com/office/spreadsheetml/2010/11/main" uri="{B97F6D7D-B522-45F9-BDA1-12C45D357490}">
          <x15:cacheHierarchy aggregatedColumn="17"/>
        </ext>
      </extLst>
    </cacheHierarchy>
    <cacheHierarchy uniqueName="[Measures].[Count of name]" caption="Count of name" measure="1" displayFolder="" measureGroup="steam_app_database" count="0" hidden="1">
      <extLst>
        <ext xmlns:x15="http://schemas.microsoft.com/office/spreadsheetml/2010/11/main" uri="{B97F6D7D-B522-45F9-BDA1-12C45D357490}">
          <x15:cacheHierarchy aggregatedColumn="9"/>
        </ext>
      </extLst>
    </cacheHierarchy>
    <cacheHierarchy uniqueName="[Measures].[Sum of player_count]" caption="Sum of player_count" measure="1" displayFolder="" measureGroup="steam_app_database"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Year]" caption="Sum of Year" measure="1" displayFolder="" measureGroup="release_calendar" count="0" hidden="1">
      <extLst>
        <ext xmlns:x15="http://schemas.microsoft.com/office/spreadsheetml/2010/11/main" uri="{B97F6D7D-B522-45F9-BDA1-12C45D357490}">
          <x15:cacheHierarchy aggregatedColumn="2"/>
        </ext>
      </extLst>
    </cacheHierarchy>
    <cacheHierarchy uniqueName="[Measures].[Count of appid]" caption="Count of appid" measure="1" displayFolder="" measureGroup="steam_app_database" count="0" hidden="1">
      <extLst>
        <ext xmlns:x15="http://schemas.microsoft.com/office/spreadsheetml/2010/11/main" uri="{B97F6D7D-B522-45F9-BDA1-12C45D357490}">
          <x15:cacheHierarchy aggregatedColumn="8"/>
        </ext>
      </extLst>
    </cacheHierarchy>
    <cacheHierarchy uniqueName="[Measures].[Sum of price_usd]" caption="Sum of price_usd" measure="1" displayFolder="" measureGroup="steam_app_database" count="0" hidden="1">
      <extLst>
        <ext xmlns:x15="http://schemas.microsoft.com/office/spreadsheetml/2010/11/main" uri="{B97F6D7D-B522-45F9-BDA1-12C45D357490}">
          <x15:cacheHierarchy aggregatedColumn="12"/>
        </ext>
      </extLst>
    </cacheHierarchy>
    <cacheHierarchy uniqueName="[Measures].[Average of price_usd]" caption="Average of price_usd" measure="1" displayFolder="" measureGroup="steam_app_database" count="0" hidden="1">
      <extLst>
        <ext xmlns:x15="http://schemas.microsoft.com/office/spreadsheetml/2010/11/main" uri="{B97F6D7D-B522-45F9-BDA1-12C45D357490}">
          <x15:cacheHierarchy aggregatedColumn="12"/>
        </ext>
      </extLst>
    </cacheHierarchy>
    <cacheHierarchy uniqueName="[Measures].[Sum of review_score]" caption="Sum of review_score" measure="1" displayFolder="" measureGroup="steam_app_database" count="0" hidden="1">
      <extLst>
        <ext xmlns:x15="http://schemas.microsoft.com/office/spreadsheetml/2010/11/main" uri="{B97F6D7D-B522-45F9-BDA1-12C45D357490}">
          <x15:cacheHierarchy aggregatedColumn="18"/>
        </ext>
      </extLst>
    </cacheHierarchy>
    <cacheHierarchy uniqueName="[Measures].[Sum of total_positive]" caption="Sum of total_positive" measure="1" displayFolder="" measureGroup="steam_app_database" count="0" hidden="1">
      <extLst>
        <ext xmlns:x15="http://schemas.microsoft.com/office/spreadsheetml/2010/11/main" uri="{B97F6D7D-B522-45F9-BDA1-12C45D357490}">
          <x15:cacheHierarchy aggregatedColumn="20"/>
        </ext>
      </extLst>
    </cacheHierarchy>
    <cacheHierarchy uniqueName="[Measures].[Sum of total_reviews]" caption="Sum of total_reviews" measure="1" displayFolder="" measureGroup="steam_app_database" count="0" hidden="1">
      <extLst>
        <ext xmlns:x15="http://schemas.microsoft.com/office/spreadsheetml/2010/11/main" uri="{B97F6D7D-B522-45F9-BDA1-12C45D357490}">
          <x15:cacheHierarchy aggregatedColumn="22"/>
        </ext>
      </extLst>
    </cacheHierarchy>
    <cacheHierarchy uniqueName="[Measures].[Sum of total_negative]" caption="Sum of total_negative" measure="1" displayFolder="" measureGroup="steam_app_database" count="0" hidden="1">
      <extLst>
        <ext xmlns:x15="http://schemas.microsoft.com/office/spreadsheetml/2010/11/main" uri="{B97F6D7D-B522-45F9-BDA1-12C45D357490}">
          <x15:cacheHierarchy aggregatedColumn="21"/>
        </ext>
      </extLst>
    </cacheHierarchy>
    <cacheHierarchy uniqueName="[Measures].[Average of player_count]" caption="Average of player_count" measure="1" displayFolder="" measureGroup="steam_app_database" count="0" hidden="1">
      <extLst>
        <ext xmlns:x15="http://schemas.microsoft.com/office/spreadsheetml/2010/11/main" uri="{B97F6D7D-B522-45F9-BDA1-12C45D357490}">
          <x15:cacheHierarchy aggregatedColumn="17"/>
        </ext>
      </extLst>
    </cacheHierarchy>
    <cacheHierarchy uniqueName="[Measures].[Count of genre]" caption="Count of genre" measure="1" displayFolder="" measureGroup="steam_app_database" count="0" hidden="1">
      <extLst>
        <ext xmlns:x15="http://schemas.microsoft.com/office/spreadsheetml/2010/11/main" uri="{B97F6D7D-B522-45F9-BDA1-12C45D357490}">
          <x15:cacheHierarchy aggregatedColumn="13"/>
        </ext>
      </extLst>
    </cacheHierarchy>
    <cacheHierarchy uniqueName="[Measures].[Count of free_or_paid]" caption="Count of free_or_paid" measure="1" displayFolder="" measureGroup="steam_app_database" count="0" hidden="1">
      <extLst>
        <ext xmlns:x15="http://schemas.microsoft.com/office/spreadsheetml/2010/11/main" uri="{B97F6D7D-B522-45F9-BDA1-12C45D357490}">
          <x15:cacheHierarchy aggregatedColumn="23"/>
        </ext>
      </extLst>
    </cacheHierarchy>
  </cacheHierarchies>
  <kpis count="0"/>
  <dimensions count="3">
    <dimension measure="1" name="Measures" uniqueName="[Measures]" caption="Measures"/>
    <dimension name="release_calendar" uniqueName="[release_calendar]" caption="release_calendar"/>
    <dimension name="steam_app_database" uniqueName="[steam_app_database]" caption="steam_app_database"/>
  </dimensions>
  <measureGroups count="2">
    <measureGroup name="release_calendar" caption="release_calendar"/>
    <measureGroup name="steam_app_database" caption="steam_app_database"/>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ngston Stewart" refreshedDate="46265.98993009259" backgroundQuery="1" createdVersion="3" refreshedVersion="8" minRefreshableVersion="3" recordCount="0" supportSubquery="1" supportAdvancedDrill="1" xr:uid="{54B7276F-8CE2-4D31-B20B-D4B2C000A0B3}">
  <cacheSource type="external" connectionId="4">
    <extLst>
      <ext xmlns:x14="http://schemas.microsoft.com/office/spreadsheetml/2009/9/main" uri="{F057638F-6D5F-4e77-A914-E7F072B9BCA8}">
        <x14:sourceConnection name="ThisWorkbookDataModel"/>
      </ext>
    </extLst>
  </cacheSource>
  <cacheFields count="0"/>
  <cacheHierarchies count="45">
    <cacheHierarchy uniqueName="[release_calendar].[Date]" caption="Date" attribute="1" time="1" keyAttribute="1" defaultMemberUniqueName="[release_calendar].[Date].[All]" allUniqueName="[release_calendar].[Date].[All]" dimensionUniqueName="[release_calendar]" displayFolder="" count="0" memberValueDatatype="7" unbalanced="0"/>
    <cacheHierarchy uniqueName="[release_calendar].[Date Hierarchy]" caption="Date Hierarchy" time="1" defaultMemberUniqueName="[release_calendar].[Date Hierarchy].[All]" allUniqueName="[release_calendar].[Date Hierarchy].[All]" dimensionUniqueName="[release_calendar]" displayFolder="" count="0" unbalanced="0"/>
    <cacheHierarchy uniqueName="[release_calendar].[Year]" caption="Year" attribute="1" time="1" defaultMemberUniqueName="[release_calendar].[Year].[All]" allUniqueName="[release_calendar].[Year].[All]" dimensionUniqueName="[release_calendar]" displayFolder="" count="0" memberValueDatatype="20" unbalanced="0"/>
    <cacheHierarchy uniqueName="[release_calendar].[Month Number]" caption="Month Number" attribute="1" time="1" defaultMemberUniqueName="[release_calendar].[Month Number].[All]" allUniqueName="[release_calendar].[Month Number].[All]" dimensionUniqueName="[release_calendar]" displayFolder="" count="0" memberValueDatatype="20" unbalanced="0"/>
    <cacheHierarchy uniqueName="[release_calendar].[Month]" caption="Month" attribute="1" time="1" defaultMemberUniqueName="[release_calendar].[Month].[All]" allUniqueName="[release_calendar].[Month].[All]" dimensionUniqueName="[release_calendar]" displayFolder="" count="0" memberValueDatatype="130" unbalanced="0"/>
    <cacheHierarchy uniqueName="[release_calendar].[MMM-YYYY]" caption="MMM-YYYY" attribute="1" time="1" defaultMemberUniqueName="[release_calendar].[MMM-YYYY].[All]" allUniqueName="[release_calendar].[MMM-YYYY].[All]" dimensionUniqueName="[release_calendar]" displayFolder="" count="0" memberValueDatatype="130" unbalanced="0"/>
    <cacheHierarchy uniqueName="[release_calendar].[Day Of Week Number]" caption="Day Of Week Number" attribute="1" time="1" defaultMemberUniqueName="[release_calendar].[Day Of Week Number].[All]" allUniqueName="[release_calendar].[Day Of Week Number].[All]" dimensionUniqueName="[release_calendar]" displayFolder="" count="0" memberValueDatatype="20" unbalanced="0"/>
    <cacheHierarchy uniqueName="[release_calendar].[Day Of Week]" caption="Day Of Week" attribute="1" time="1" defaultMemberUniqueName="[release_calendar].[Day Of Week].[All]" allUniqueName="[release_calendar].[Day Of Week].[All]" dimensionUniqueName="[release_calendar]" displayFolder="" count="0" memberValueDatatype="130" unbalanced="0"/>
    <cacheHierarchy uniqueName="[steam_app_database].[appid]" caption="appid" attribute="1" defaultMemberUniqueName="[steam_app_database].[appid].[All]" allUniqueName="[steam_app_database].[appid].[All]" dimensionUniqueName="[steam_app_database]" displayFolder="" count="0" memberValueDatatype="130" unbalanced="0"/>
    <cacheHierarchy uniqueName="[steam_app_database].[name]" caption="name" attribute="1" defaultMemberUniqueName="[steam_app_database].[name].[All]" allUniqueName="[steam_app_database].[name].[All]" dimensionUniqueName="[steam_app_database]" displayFolder="" count="0" memberValueDatatype="130" unbalanced="0"/>
    <cacheHierarchy uniqueName="[steam_app_database].[releasedate]" caption="releasedate" attribute="1" time="1" defaultMemberUniqueName="[steam_app_database].[releasedate].[All]" allUniqueName="[steam_app_database].[releasedate].[All]" dimensionUniqueName="[steam_app_database]" displayFolder="" count="0" memberValueDatatype="7" unbalanced="0"/>
    <cacheHierarchy uniqueName="[steam_app_database].[is_free]" caption="is_free" attribute="1" defaultMemberUniqueName="[steam_app_database].[is_free].[All]" allUniqueName="[steam_app_database].[is_free].[All]" dimensionUniqueName="[steam_app_database]" displayFolder="" count="0" memberValueDatatype="130" unbalanced="0"/>
    <cacheHierarchy uniqueName="[steam_app_database].[price_usd]" caption="price_usd" attribute="1" defaultMemberUniqueName="[steam_app_database].[price_usd].[All]" allUniqueName="[steam_app_database].[price_usd].[All]" dimensionUniqueName="[steam_app_database]" displayFolder="" count="0" memberValueDatatype="5" unbalanced="0"/>
    <cacheHierarchy uniqueName="[steam_app_database].[genre]" caption="genre" attribute="1" defaultMemberUniqueName="[steam_app_database].[genre].[All]" allUniqueName="[steam_app_database].[genre].[All]" dimensionUniqueName="[steam_app_database]" displayFolder="" count="2" memberValueDatatype="130" unbalanced="0"/>
    <cacheHierarchy uniqueName="[steam_app_database].[achievement_count]" caption="achievement_count" attribute="1" defaultMemberUniqueName="[steam_app_database].[achievement_count].[All]" allUniqueName="[steam_app_database].[achievement_count].[All]" dimensionUniqueName="[steam_app_database]" displayFolder="" count="0" memberValueDatatype="20" unbalanced="0"/>
    <cacheHierarchy uniqueName="[steam_app_database].[developer]" caption="developer" attribute="1" defaultMemberUniqueName="[steam_app_database].[developer].[All]" allUniqueName="[steam_app_database].[developer].[All]" dimensionUniqueName="[steam_app_database]" displayFolder="" count="0" memberValueDatatype="130" unbalanced="0"/>
    <cacheHierarchy uniqueName="[steam_app_database].[publisher]" caption="publisher" attribute="1" defaultMemberUniqueName="[steam_app_database].[publisher].[All]" allUniqueName="[steam_app_database].[publisher].[All]" dimensionUniqueName="[steam_app_database]" displayFolder="" count="0" memberValueDatatype="130" unbalanced="0"/>
    <cacheHierarchy uniqueName="[steam_app_database].[player_count]" caption="player_count" attribute="1" defaultMemberUniqueName="[steam_app_database].[player_count].[All]" allUniqueName="[steam_app_database].[player_count].[All]" dimensionUniqueName="[steam_app_database]" displayFolder="" count="0" memberValueDatatype="20" unbalanced="0"/>
    <cacheHierarchy uniqueName="[steam_app_database].[review_score]" caption="review_score" attribute="1" defaultMemberUniqueName="[steam_app_database].[review_score].[All]" allUniqueName="[steam_app_database].[review_score].[All]" dimensionUniqueName="[steam_app_database]" displayFolder="" count="0" memberValueDatatype="20" unbalanced="0"/>
    <cacheHierarchy uniqueName="[steam_app_database].[review_score_desc]" caption="review_score_desc" attribute="1" defaultMemberUniqueName="[steam_app_database].[review_score_desc].[All]" allUniqueName="[steam_app_database].[review_score_desc].[All]" dimensionUniqueName="[steam_app_database]" displayFolder="" count="0" memberValueDatatype="130" unbalanced="0"/>
    <cacheHierarchy uniqueName="[steam_app_database].[total_positive]" caption="total_positive" attribute="1" defaultMemberUniqueName="[steam_app_database].[total_positive].[All]" allUniqueName="[steam_app_database].[total_positive].[All]" dimensionUniqueName="[steam_app_database]" displayFolder="" count="0" memberValueDatatype="20" unbalanced="0"/>
    <cacheHierarchy uniqueName="[steam_app_database].[total_negative]" caption="total_negative" attribute="1" defaultMemberUniqueName="[steam_app_database].[total_negative].[All]" allUniqueName="[steam_app_database].[total_negative].[All]" dimensionUniqueName="[steam_app_database]" displayFolder="" count="0" memberValueDatatype="20" unbalanced="0"/>
    <cacheHierarchy uniqueName="[steam_app_database].[total_reviews]" caption="total_reviews" attribute="1" defaultMemberUniqueName="[steam_app_database].[total_reviews].[All]" allUniqueName="[steam_app_database].[total_reviews].[All]" dimensionUniqueName="[steam_app_database]" displayFolder="" count="0" memberValueDatatype="20" unbalanced="0"/>
    <cacheHierarchy uniqueName="[steam_app_database].[free_or_paid]" caption="free_or_paid" attribute="1" defaultMemberUniqueName="[steam_app_database].[free_or_paid].[All]" allUniqueName="[steam_app_database].[free_or_paid].[All]" dimensionUniqueName="[steam_app_database]" displayFolder="" count="2" memberValueDatatype="130" unbalanced="0"/>
    <cacheHierarchy uniqueName="[Measures].[Player Count]" caption="Player Count" measure="1" displayFolder="" measureGroup="steam_app_database" count="0"/>
    <cacheHierarchy uniqueName="[Measures].[Game Count]" caption="Game Count" measure="1" displayFolder="" measureGroup="steam_app_database" count="0"/>
    <cacheHierarchy uniqueName="[Measures].[Average Game Price]" caption="Average Game Price" measure="1" displayFolder="" measureGroup="steam_app_database" count="0"/>
    <cacheHierarchy uniqueName="[Measures].[Positive Review Percentage]" caption="Positive Review Percentage" measure="1" displayFolder="" measureGroup="steam_app_database" count="0"/>
    <cacheHierarchy uniqueName="[Measures].[Negative Review Percentage]" caption="Negative Review Percentage" measure="1" displayFolder="" measureGroup="steam_app_database" count="0"/>
    <cacheHierarchy uniqueName="[Measures].[__XL_Count steam_app_database]" caption="__XL_Count steam_app_database" measure="1" displayFolder="" measureGroup="steam_app_database" count="0" hidden="1"/>
    <cacheHierarchy uniqueName="[Measures].[__XL_Count Calendar]" caption="__XL_Count Calendar" measure="1" displayFolder="" measureGroup="release_calendar" count="0" hidden="1"/>
    <cacheHierarchy uniqueName="[Measures].[__No measures defined]" caption="__No measures defined" measure="1" displayFolder="" count="0" hidden="1"/>
    <cacheHierarchy uniqueName="[Measures].[Count of player_count]" caption="Count of player_count" measure="1" displayFolder="" measureGroup="steam_app_database" count="0" hidden="1">
      <extLst>
        <ext xmlns:x15="http://schemas.microsoft.com/office/spreadsheetml/2010/11/main" uri="{B97F6D7D-B522-45F9-BDA1-12C45D357490}">
          <x15:cacheHierarchy aggregatedColumn="17"/>
        </ext>
      </extLst>
    </cacheHierarchy>
    <cacheHierarchy uniqueName="[Measures].[Count of name]" caption="Count of name" measure="1" displayFolder="" measureGroup="steam_app_database" count="0" hidden="1">
      <extLst>
        <ext xmlns:x15="http://schemas.microsoft.com/office/spreadsheetml/2010/11/main" uri="{B97F6D7D-B522-45F9-BDA1-12C45D357490}">
          <x15:cacheHierarchy aggregatedColumn="9"/>
        </ext>
      </extLst>
    </cacheHierarchy>
    <cacheHierarchy uniqueName="[Measures].[Sum of player_count]" caption="Sum of player_count" measure="1" displayFolder="" measureGroup="steam_app_database" count="0" hidden="1">
      <extLst>
        <ext xmlns:x15="http://schemas.microsoft.com/office/spreadsheetml/2010/11/main" uri="{B97F6D7D-B522-45F9-BDA1-12C45D357490}">
          <x15:cacheHierarchy aggregatedColumn="17"/>
        </ext>
      </extLst>
    </cacheHierarchy>
    <cacheHierarchy uniqueName="[Measures].[Sum of Year]" caption="Sum of Year" measure="1" displayFolder="" measureGroup="release_calendar" count="0" hidden="1">
      <extLst>
        <ext xmlns:x15="http://schemas.microsoft.com/office/spreadsheetml/2010/11/main" uri="{B97F6D7D-B522-45F9-BDA1-12C45D357490}">
          <x15:cacheHierarchy aggregatedColumn="2"/>
        </ext>
      </extLst>
    </cacheHierarchy>
    <cacheHierarchy uniqueName="[Measures].[Count of appid]" caption="Count of appid" measure="1" displayFolder="" measureGroup="steam_app_database" count="0" hidden="1">
      <extLst>
        <ext xmlns:x15="http://schemas.microsoft.com/office/spreadsheetml/2010/11/main" uri="{B97F6D7D-B522-45F9-BDA1-12C45D357490}">
          <x15:cacheHierarchy aggregatedColumn="8"/>
        </ext>
      </extLst>
    </cacheHierarchy>
    <cacheHierarchy uniqueName="[Measures].[Sum of price_usd]" caption="Sum of price_usd" measure="1" displayFolder="" measureGroup="steam_app_database" count="0" hidden="1">
      <extLst>
        <ext xmlns:x15="http://schemas.microsoft.com/office/spreadsheetml/2010/11/main" uri="{B97F6D7D-B522-45F9-BDA1-12C45D357490}">
          <x15:cacheHierarchy aggregatedColumn="12"/>
        </ext>
      </extLst>
    </cacheHierarchy>
    <cacheHierarchy uniqueName="[Measures].[Average of price_usd]" caption="Average of price_usd" measure="1" displayFolder="" measureGroup="steam_app_database" count="0" hidden="1">
      <extLst>
        <ext xmlns:x15="http://schemas.microsoft.com/office/spreadsheetml/2010/11/main" uri="{B97F6D7D-B522-45F9-BDA1-12C45D357490}">
          <x15:cacheHierarchy aggregatedColumn="12"/>
        </ext>
      </extLst>
    </cacheHierarchy>
    <cacheHierarchy uniqueName="[Measures].[Sum of review_score]" caption="Sum of review_score" measure="1" displayFolder="" measureGroup="steam_app_database" count="0" hidden="1">
      <extLst>
        <ext xmlns:x15="http://schemas.microsoft.com/office/spreadsheetml/2010/11/main" uri="{B97F6D7D-B522-45F9-BDA1-12C45D357490}">
          <x15:cacheHierarchy aggregatedColumn="18"/>
        </ext>
      </extLst>
    </cacheHierarchy>
    <cacheHierarchy uniqueName="[Measures].[Sum of total_positive]" caption="Sum of total_positive" measure="1" displayFolder="" measureGroup="steam_app_database" count="0" hidden="1">
      <extLst>
        <ext xmlns:x15="http://schemas.microsoft.com/office/spreadsheetml/2010/11/main" uri="{B97F6D7D-B522-45F9-BDA1-12C45D357490}">
          <x15:cacheHierarchy aggregatedColumn="20"/>
        </ext>
      </extLst>
    </cacheHierarchy>
    <cacheHierarchy uniqueName="[Measures].[Sum of total_reviews]" caption="Sum of total_reviews" measure="1" displayFolder="" measureGroup="steam_app_database" count="0" hidden="1">
      <extLst>
        <ext xmlns:x15="http://schemas.microsoft.com/office/spreadsheetml/2010/11/main" uri="{B97F6D7D-B522-45F9-BDA1-12C45D357490}">
          <x15:cacheHierarchy aggregatedColumn="22"/>
        </ext>
      </extLst>
    </cacheHierarchy>
    <cacheHierarchy uniqueName="[Measures].[Sum of total_negative]" caption="Sum of total_negative" measure="1" displayFolder="" measureGroup="steam_app_database" count="0" hidden="1">
      <extLst>
        <ext xmlns:x15="http://schemas.microsoft.com/office/spreadsheetml/2010/11/main" uri="{B97F6D7D-B522-45F9-BDA1-12C45D357490}">
          <x15:cacheHierarchy aggregatedColumn="21"/>
        </ext>
      </extLst>
    </cacheHierarchy>
    <cacheHierarchy uniqueName="[Measures].[Average of player_count]" caption="Average of player_count" measure="1" displayFolder="" measureGroup="steam_app_database" count="0" hidden="1">
      <extLst>
        <ext xmlns:x15="http://schemas.microsoft.com/office/spreadsheetml/2010/11/main" uri="{B97F6D7D-B522-45F9-BDA1-12C45D357490}">
          <x15:cacheHierarchy aggregatedColumn="17"/>
        </ext>
      </extLst>
    </cacheHierarchy>
    <cacheHierarchy uniqueName="[Measures].[Count of genre]" caption="Count of genre" measure="1" displayFolder="" measureGroup="steam_app_database"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slicerData="1" pivotCacheId="82817180"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ngston Stewart" refreshedDate="46265.989937500002" backgroundQuery="1" createdVersion="3" refreshedVersion="8" minRefreshableVersion="3" recordCount="0" supportSubquery="1" supportAdvancedDrill="1" xr:uid="{F81E6AF9-9BE3-4EA1-A6A4-369298B6FC45}">
  <cacheSource type="external" connectionId="4">
    <extLst>
      <ext xmlns:x14="http://schemas.microsoft.com/office/spreadsheetml/2009/9/main" uri="{F057638F-6D5F-4e77-A914-E7F072B9BCA8}">
        <x14:sourceConnection name="ThisWorkbookDataModel"/>
      </ext>
    </extLst>
  </cacheSource>
  <cacheFields count="0"/>
  <cacheHierarchies count="45">
    <cacheHierarchy uniqueName="[release_calendar].[Date]" caption="Date" attribute="1" time="1" keyAttribute="1" defaultMemberUniqueName="[release_calendar].[Date].[All]" allUniqueName="[release_calendar].[Date].[All]" dimensionUniqueName="[release_calendar]" displayFolder="" count="0" memberValueDatatype="7" unbalanced="0"/>
    <cacheHierarchy uniqueName="[release_calendar].[Date Hierarchy]" caption="Date Hierarchy" time="1" defaultMemberUniqueName="[release_calendar].[Date Hierarchy].[All]" allUniqueName="[release_calendar].[Date Hierarchy].[All]" dimensionUniqueName="[release_calendar]" displayFolder="" count="0" unbalanced="0"/>
    <cacheHierarchy uniqueName="[release_calendar].[Year]" caption="Year" attribute="1" time="1" defaultMemberUniqueName="[release_calendar].[Year].[All]" allUniqueName="[release_calendar].[Year].[All]" dimensionUniqueName="[release_calendar]" displayFolder="" count="0" memberValueDatatype="20" unbalanced="0"/>
    <cacheHierarchy uniqueName="[release_calendar].[Month Number]" caption="Month Number" attribute="1" time="1" defaultMemberUniqueName="[release_calendar].[Month Number].[All]" allUniqueName="[release_calendar].[Month Number].[All]" dimensionUniqueName="[release_calendar]" displayFolder="" count="0" memberValueDatatype="20" unbalanced="0"/>
    <cacheHierarchy uniqueName="[release_calendar].[Month]" caption="Month" attribute="1" time="1" defaultMemberUniqueName="[release_calendar].[Month].[All]" allUniqueName="[release_calendar].[Month].[All]" dimensionUniqueName="[release_calendar]" displayFolder="" count="0" memberValueDatatype="130" unbalanced="0"/>
    <cacheHierarchy uniqueName="[release_calendar].[MMM-YYYY]" caption="MMM-YYYY" attribute="1" time="1" defaultMemberUniqueName="[release_calendar].[MMM-YYYY].[All]" allUniqueName="[release_calendar].[MMM-YYYY].[All]" dimensionUniqueName="[release_calendar]" displayFolder="" count="0" memberValueDatatype="130" unbalanced="0"/>
    <cacheHierarchy uniqueName="[release_calendar].[Day Of Week Number]" caption="Day Of Week Number" attribute="1" time="1" defaultMemberUniqueName="[release_calendar].[Day Of Week Number].[All]" allUniqueName="[release_calendar].[Day Of Week Number].[All]" dimensionUniqueName="[release_calendar]" displayFolder="" count="0" memberValueDatatype="20" unbalanced="0"/>
    <cacheHierarchy uniqueName="[release_calendar].[Day Of Week]" caption="Day Of Week" attribute="1" time="1" defaultMemberUniqueName="[release_calendar].[Day Of Week].[All]" allUniqueName="[release_calendar].[Day Of Week].[All]" dimensionUniqueName="[release_calendar]" displayFolder="" count="0" memberValueDatatype="130" unbalanced="0"/>
    <cacheHierarchy uniqueName="[steam_app_database].[appid]" caption="appid" attribute="1" defaultMemberUniqueName="[steam_app_database].[appid].[All]" allUniqueName="[steam_app_database].[appid].[All]" dimensionUniqueName="[steam_app_database]" displayFolder="" count="0" memberValueDatatype="130" unbalanced="0"/>
    <cacheHierarchy uniqueName="[steam_app_database].[name]" caption="name" attribute="1" defaultMemberUniqueName="[steam_app_database].[name].[All]" allUniqueName="[steam_app_database].[name].[All]" dimensionUniqueName="[steam_app_database]" displayFolder="" count="0" memberValueDatatype="130" unbalanced="0"/>
    <cacheHierarchy uniqueName="[steam_app_database].[releasedate]" caption="releasedate" attribute="1" time="1" defaultMemberUniqueName="[steam_app_database].[releasedate].[All]" allUniqueName="[steam_app_database].[releasedate].[All]" dimensionUniqueName="[steam_app_database]" displayFolder="" count="0" memberValueDatatype="7" unbalanced="0"/>
    <cacheHierarchy uniqueName="[steam_app_database].[is_free]" caption="is_free" attribute="1" defaultMemberUniqueName="[steam_app_database].[is_free].[All]" allUniqueName="[steam_app_database].[is_free].[All]" dimensionUniqueName="[steam_app_database]" displayFolder="" count="0" memberValueDatatype="130" unbalanced="0"/>
    <cacheHierarchy uniqueName="[steam_app_database].[price_usd]" caption="price_usd" attribute="1" defaultMemberUniqueName="[steam_app_database].[price_usd].[All]" allUniqueName="[steam_app_database].[price_usd].[All]" dimensionUniqueName="[steam_app_database]" displayFolder="" count="0" memberValueDatatype="5" unbalanced="0"/>
    <cacheHierarchy uniqueName="[steam_app_database].[genre]" caption="genre" attribute="1" defaultMemberUniqueName="[steam_app_database].[genre].[All]" allUniqueName="[steam_app_database].[genre].[All]" dimensionUniqueName="[steam_app_database]" displayFolder="" count="0" memberValueDatatype="130" unbalanced="0"/>
    <cacheHierarchy uniqueName="[steam_app_database].[achievement_count]" caption="achievement_count" attribute="1" defaultMemberUniqueName="[steam_app_database].[achievement_count].[All]" allUniqueName="[steam_app_database].[achievement_count].[All]" dimensionUniqueName="[steam_app_database]" displayFolder="" count="0" memberValueDatatype="20" unbalanced="0"/>
    <cacheHierarchy uniqueName="[steam_app_database].[developer]" caption="developer" attribute="1" defaultMemberUniqueName="[steam_app_database].[developer].[All]" allUniqueName="[steam_app_database].[developer].[All]" dimensionUniqueName="[steam_app_database]" displayFolder="" count="0" memberValueDatatype="130" unbalanced="0"/>
    <cacheHierarchy uniqueName="[steam_app_database].[publisher]" caption="publisher" attribute="1" defaultMemberUniqueName="[steam_app_database].[publisher].[All]" allUniqueName="[steam_app_database].[publisher].[All]" dimensionUniqueName="[steam_app_database]" displayFolder="" count="0" memberValueDatatype="130" unbalanced="0"/>
    <cacheHierarchy uniqueName="[steam_app_database].[player_count]" caption="player_count" attribute="1" defaultMemberUniqueName="[steam_app_database].[player_count].[All]" allUniqueName="[steam_app_database].[player_count].[All]" dimensionUniqueName="[steam_app_database]" displayFolder="" count="0" memberValueDatatype="20" unbalanced="0"/>
    <cacheHierarchy uniqueName="[steam_app_database].[review_score]" caption="review_score" attribute="1" defaultMemberUniqueName="[steam_app_database].[review_score].[All]" allUniqueName="[steam_app_database].[review_score].[All]" dimensionUniqueName="[steam_app_database]" displayFolder="" count="0" memberValueDatatype="20" unbalanced="0"/>
    <cacheHierarchy uniqueName="[steam_app_database].[review_score_desc]" caption="review_score_desc" attribute="1" defaultMemberUniqueName="[steam_app_database].[review_score_desc].[All]" allUniqueName="[steam_app_database].[review_score_desc].[All]" dimensionUniqueName="[steam_app_database]" displayFolder="" count="0" memberValueDatatype="130" unbalanced="0"/>
    <cacheHierarchy uniqueName="[steam_app_database].[total_positive]" caption="total_positive" attribute="1" defaultMemberUniqueName="[steam_app_database].[total_positive].[All]" allUniqueName="[steam_app_database].[total_positive].[All]" dimensionUniqueName="[steam_app_database]" displayFolder="" count="0" memberValueDatatype="20" unbalanced="0"/>
    <cacheHierarchy uniqueName="[steam_app_database].[total_negative]" caption="total_negative" attribute="1" defaultMemberUniqueName="[steam_app_database].[total_negative].[All]" allUniqueName="[steam_app_database].[total_negative].[All]" dimensionUniqueName="[steam_app_database]" displayFolder="" count="0" memberValueDatatype="20" unbalanced="0"/>
    <cacheHierarchy uniqueName="[steam_app_database].[total_reviews]" caption="total_reviews" attribute="1" defaultMemberUniqueName="[steam_app_database].[total_reviews].[All]" allUniqueName="[steam_app_database].[total_reviews].[All]" dimensionUniqueName="[steam_app_database]" displayFolder="" count="0" memberValueDatatype="20" unbalanced="0"/>
    <cacheHierarchy uniqueName="[steam_app_database].[free_or_paid]" caption="free_or_paid" attribute="1" defaultMemberUniqueName="[steam_app_database].[free_or_paid].[All]" allUniqueName="[steam_app_database].[free_or_paid].[All]" dimensionUniqueName="[steam_app_database]" displayFolder="" count="2" memberValueDatatype="130" unbalanced="0"/>
    <cacheHierarchy uniqueName="[Measures].[Player Count]" caption="Player Count" measure="1" displayFolder="" measureGroup="steam_app_database" count="0"/>
    <cacheHierarchy uniqueName="[Measures].[Game Count]" caption="Game Count" measure="1" displayFolder="" measureGroup="steam_app_database" count="0"/>
    <cacheHierarchy uniqueName="[Measures].[Average Game Price]" caption="Average Game Price" measure="1" displayFolder="" measureGroup="steam_app_database" count="0"/>
    <cacheHierarchy uniqueName="[Measures].[Positive Review Percentage]" caption="Positive Review Percentage" measure="1" displayFolder="" measureGroup="steam_app_database" count="0"/>
    <cacheHierarchy uniqueName="[Measures].[Negative Review Percentage]" caption="Negative Review Percentage" measure="1" displayFolder="" measureGroup="steam_app_database" count="0"/>
    <cacheHierarchy uniqueName="[Measures].[__XL_Count steam_app_database]" caption="__XL_Count steam_app_database" measure="1" displayFolder="" measureGroup="steam_app_database" count="0" hidden="1"/>
    <cacheHierarchy uniqueName="[Measures].[__XL_Count Calendar]" caption="__XL_Count Calendar" measure="1" displayFolder="" measureGroup="release_calendar" count="0" hidden="1"/>
    <cacheHierarchy uniqueName="[Measures].[__No measures defined]" caption="__No measures defined" measure="1" displayFolder="" count="0" hidden="1"/>
    <cacheHierarchy uniqueName="[Measures].[Count of player_count]" caption="Count of player_count" measure="1" displayFolder="" measureGroup="steam_app_database" count="0" hidden="1">
      <extLst>
        <ext xmlns:x15="http://schemas.microsoft.com/office/spreadsheetml/2010/11/main" uri="{B97F6D7D-B522-45F9-BDA1-12C45D357490}">
          <x15:cacheHierarchy aggregatedColumn="17"/>
        </ext>
      </extLst>
    </cacheHierarchy>
    <cacheHierarchy uniqueName="[Measures].[Count of name]" caption="Count of name" measure="1" displayFolder="" measureGroup="steam_app_database" count="0" hidden="1">
      <extLst>
        <ext xmlns:x15="http://schemas.microsoft.com/office/spreadsheetml/2010/11/main" uri="{B97F6D7D-B522-45F9-BDA1-12C45D357490}">
          <x15:cacheHierarchy aggregatedColumn="9"/>
        </ext>
      </extLst>
    </cacheHierarchy>
    <cacheHierarchy uniqueName="[Measures].[Sum of player_count]" caption="Sum of player_count" measure="1" displayFolder="" measureGroup="steam_app_database" count="0" hidden="1">
      <extLst>
        <ext xmlns:x15="http://schemas.microsoft.com/office/spreadsheetml/2010/11/main" uri="{B97F6D7D-B522-45F9-BDA1-12C45D357490}">
          <x15:cacheHierarchy aggregatedColumn="17"/>
        </ext>
      </extLst>
    </cacheHierarchy>
    <cacheHierarchy uniqueName="[Measures].[Sum of Year]" caption="Sum of Year" measure="1" displayFolder="" measureGroup="release_calendar" count="0" hidden="1">
      <extLst>
        <ext xmlns:x15="http://schemas.microsoft.com/office/spreadsheetml/2010/11/main" uri="{B97F6D7D-B522-45F9-BDA1-12C45D357490}">
          <x15:cacheHierarchy aggregatedColumn="2"/>
        </ext>
      </extLst>
    </cacheHierarchy>
    <cacheHierarchy uniqueName="[Measures].[Count of appid]" caption="Count of appid" measure="1" displayFolder="" measureGroup="steam_app_database" count="0" hidden="1">
      <extLst>
        <ext xmlns:x15="http://schemas.microsoft.com/office/spreadsheetml/2010/11/main" uri="{B97F6D7D-B522-45F9-BDA1-12C45D357490}">
          <x15:cacheHierarchy aggregatedColumn="8"/>
        </ext>
      </extLst>
    </cacheHierarchy>
    <cacheHierarchy uniqueName="[Measures].[Sum of price_usd]" caption="Sum of price_usd" measure="1" displayFolder="" measureGroup="steam_app_database" count="0" hidden="1">
      <extLst>
        <ext xmlns:x15="http://schemas.microsoft.com/office/spreadsheetml/2010/11/main" uri="{B97F6D7D-B522-45F9-BDA1-12C45D357490}">
          <x15:cacheHierarchy aggregatedColumn="12"/>
        </ext>
      </extLst>
    </cacheHierarchy>
    <cacheHierarchy uniqueName="[Measures].[Average of price_usd]" caption="Average of price_usd" measure="1" displayFolder="" measureGroup="steam_app_database" count="0" hidden="1">
      <extLst>
        <ext xmlns:x15="http://schemas.microsoft.com/office/spreadsheetml/2010/11/main" uri="{B97F6D7D-B522-45F9-BDA1-12C45D357490}">
          <x15:cacheHierarchy aggregatedColumn="12"/>
        </ext>
      </extLst>
    </cacheHierarchy>
    <cacheHierarchy uniqueName="[Measures].[Sum of review_score]" caption="Sum of review_score" measure="1" displayFolder="" measureGroup="steam_app_database" count="0" hidden="1">
      <extLst>
        <ext xmlns:x15="http://schemas.microsoft.com/office/spreadsheetml/2010/11/main" uri="{B97F6D7D-B522-45F9-BDA1-12C45D357490}">
          <x15:cacheHierarchy aggregatedColumn="18"/>
        </ext>
      </extLst>
    </cacheHierarchy>
    <cacheHierarchy uniqueName="[Measures].[Sum of total_positive]" caption="Sum of total_positive" measure="1" displayFolder="" measureGroup="steam_app_database" count="0" hidden="1">
      <extLst>
        <ext xmlns:x15="http://schemas.microsoft.com/office/spreadsheetml/2010/11/main" uri="{B97F6D7D-B522-45F9-BDA1-12C45D357490}">
          <x15:cacheHierarchy aggregatedColumn="20"/>
        </ext>
      </extLst>
    </cacheHierarchy>
    <cacheHierarchy uniqueName="[Measures].[Sum of total_reviews]" caption="Sum of total_reviews" measure="1" displayFolder="" measureGroup="steam_app_database" count="0" hidden="1">
      <extLst>
        <ext xmlns:x15="http://schemas.microsoft.com/office/spreadsheetml/2010/11/main" uri="{B97F6D7D-B522-45F9-BDA1-12C45D357490}">
          <x15:cacheHierarchy aggregatedColumn="22"/>
        </ext>
      </extLst>
    </cacheHierarchy>
    <cacheHierarchy uniqueName="[Measures].[Sum of total_negative]" caption="Sum of total_negative" measure="1" displayFolder="" measureGroup="steam_app_database" count="0" hidden="1">
      <extLst>
        <ext xmlns:x15="http://schemas.microsoft.com/office/spreadsheetml/2010/11/main" uri="{B97F6D7D-B522-45F9-BDA1-12C45D357490}">
          <x15:cacheHierarchy aggregatedColumn="21"/>
        </ext>
      </extLst>
    </cacheHierarchy>
    <cacheHierarchy uniqueName="[Measures].[Average of player_count]" caption="Average of player_count" measure="1" displayFolder="" measureGroup="steam_app_database" count="0" hidden="1">
      <extLst>
        <ext xmlns:x15="http://schemas.microsoft.com/office/spreadsheetml/2010/11/main" uri="{B97F6D7D-B522-45F9-BDA1-12C45D357490}">
          <x15:cacheHierarchy aggregatedColumn="17"/>
        </ext>
      </extLst>
    </cacheHierarchy>
    <cacheHierarchy uniqueName="[Measures].[Count of genre]" caption="Count of genre" measure="1" displayFolder="" measureGroup="steam_app_database"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slicerData="1" pivotCacheId="1561666094"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ngston Stewart" refreshedDate="46267.744212384256" backgroundQuery="1" createdVersion="3" refreshedVersion="8" minRefreshableVersion="3" recordCount="0" supportSubquery="1" supportAdvancedDrill="1" xr:uid="{041DEE4D-CA42-43AC-8299-B05854033C4B}">
  <cacheSource type="external" connectionId="4">
    <extLst>
      <ext xmlns:x14="http://schemas.microsoft.com/office/spreadsheetml/2009/9/main" uri="{F057638F-6D5F-4e77-A914-E7F072B9BCA8}">
        <x14:sourceConnection name="ThisWorkbookDataModel"/>
      </ext>
    </extLst>
  </cacheSource>
  <cacheFields count="0"/>
  <cacheHierarchies count="46">
    <cacheHierarchy uniqueName="[release_calendar].[Date]" caption="Date" attribute="1" time="1" keyAttribute="1" defaultMemberUniqueName="[release_calendar].[Date].[All]" allUniqueName="[release_calendar].[Date].[All]" dimensionUniqueName="[release_calendar]" displayFolder="" count="0" memberValueDatatype="7" unbalanced="0"/>
    <cacheHierarchy uniqueName="[release_calendar].[Date Hierarchy]" caption="Date Hierarchy" time="1" defaultMemberUniqueName="[release_calendar].[Date Hierarchy].[All]" allUniqueName="[release_calendar].[Date Hierarchy].[All]" dimensionUniqueName="[release_calendar]" displayFolder="" count="0" unbalanced="0"/>
    <cacheHierarchy uniqueName="[release_calendar].[Year]" caption="Year" attribute="1" time="1" defaultMemberUniqueName="[release_calendar].[Year].[All]" allUniqueName="[release_calendar].[Year].[All]" dimensionUniqueName="[release_calendar]" displayFolder="" count="0" memberValueDatatype="20" unbalanced="0"/>
    <cacheHierarchy uniqueName="[release_calendar].[Month Number]" caption="Month Number" attribute="1" time="1" defaultMemberUniqueName="[release_calendar].[Month Number].[All]" allUniqueName="[release_calendar].[Month Number].[All]" dimensionUniqueName="[release_calendar]" displayFolder="" count="0" memberValueDatatype="20" unbalanced="0"/>
    <cacheHierarchy uniqueName="[release_calendar].[Month]" caption="Month" attribute="1" time="1" defaultMemberUniqueName="[release_calendar].[Month].[All]" allUniqueName="[release_calendar].[Month].[All]" dimensionUniqueName="[release_calendar]" displayFolder="" count="0" memberValueDatatype="130" unbalanced="0"/>
    <cacheHierarchy uniqueName="[release_calendar].[MMM-YYYY]" caption="MMM-YYYY" attribute="1" time="1" defaultMemberUniqueName="[release_calendar].[MMM-YYYY].[All]" allUniqueName="[release_calendar].[MMM-YYYY].[All]" dimensionUniqueName="[release_calendar]" displayFolder="" count="0" memberValueDatatype="130" unbalanced="0"/>
    <cacheHierarchy uniqueName="[release_calendar].[Day Of Week Number]" caption="Day Of Week Number" attribute="1" time="1" defaultMemberUniqueName="[release_calendar].[Day Of Week Number].[All]" allUniqueName="[release_calendar].[Day Of Week Number].[All]" dimensionUniqueName="[release_calendar]" displayFolder="" count="0" memberValueDatatype="20" unbalanced="0"/>
    <cacheHierarchy uniqueName="[release_calendar].[Day Of Week]" caption="Day Of Week" attribute="1" time="1" defaultMemberUniqueName="[release_calendar].[Day Of Week].[All]" allUniqueName="[release_calendar].[Day Of Week].[All]" dimensionUniqueName="[release_calendar]" displayFolder="" count="0" memberValueDatatype="130" unbalanced="0"/>
    <cacheHierarchy uniqueName="[steam_app_database].[appid]" caption="appid" attribute="1" defaultMemberUniqueName="[steam_app_database].[appid].[All]" allUniqueName="[steam_app_database].[appid].[All]" dimensionUniqueName="[steam_app_database]" displayFolder="" count="0" memberValueDatatype="130" unbalanced="0"/>
    <cacheHierarchy uniqueName="[steam_app_database].[name]" caption="name" attribute="1" defaultMemberUniqueName="[steam_app_database].[name].[All]" allUniqueName="[steam_app_database].[name].[All]" dimensionUniqueName="[steam_app_database]" displayFolder="" count="0" memberValueDatatype="130" unbalanced="0"/>
    <cacheHierarchy uniqueName="[steam_app_database].[releasedate]" caption="releasedate" attribute="1" time="1" defaultMemberUniqueName="[steam_app_database].[releasedate].[All]" allUniqueName="[steam_app_database].[releasedate].[All]" dimensionUniqueName="[steam_app_database]" displayFolder="" count="0" memberValueDatatype="7" unbalanced="0"/>
    <cacheHierarchy uniqueName="[steam_app_database].[is_free]" caption="is_free" attribute="1" defaultMemberUniqueName="[steam_app_database].[is_free].[All]" allUniqueName="[steam_app_database].[is_free].[All]" dimensionUniqueName="[steam_app_database]" displayFolder="" count="0" memberValueDatatype="130" unbalanced="0"/>
    <cacheHierarchy uniqueName="[steam_app_database].[price_usd]" caption="price_usd" attribute="1" defaultMemberUniqueName="[steam_app_database].[price_usd].[All]" allUniqueName="[steam_app_database].[price_usd].[All]" dimensionUniqueName="[steam_app_database]" displayFolder="" count="0" memberValueDatatype="5" unbalanced="0"/>
    <cacheHierarchy uniqueName="[steam_app_database].[genre]" caption="genre" attribute="1" defaultMemberUniqueName="[steam_app_database].[genre].[All]" allUniqueName="[steam_app_database].[genre].[All]" dimensionUniqueName="[steam_app_database]" displayFolder="" count="2" memberValueDatatype="130" unbalanced="0"/>
    <cacheHierarchy uniqueName="[steam_app_database].[achievement_count]" caption="achievement_count" attribute="1" defaultMemberUniqueName="[steam_app_database].[achievement_count].[All]" allUniqueName="[steam_app_database].[achievement_count].[All]" dimensionUniqueName="[steam_app_database]" displayFolder="" count="0" memberValueDatatype="20" unbalanced="0"/>
    <cacheHierarchy uniqueName="[steam_app_database].[developer]" caption="developer" attribute="1" defaultMemberUniqueName="[steam_app_database].[developer].[All]" allUniqueName="[steam_app_database].[developer].[All]" dimensionUniqueName="[steam_app_database]" displayFolder="" count="0" memberValueDatatype="130" unbalanced="0"/>
    <cacheHierarchy uniqueName="[steam_app_database].[publisher]" caption="publisher" attribute="1" defaultMemberUniqueName="[steam_app_database].[publisher].[All]" allUniqueName="[steam_app_database].[publisher].[All]" dimensionUniqueName="[steam_app_database]" displayFolder="" count="0" memberValueDatatype="130" unbalanced="0"/>
    <cacheHierarchy uniqueName="[steam_app_database].[player_count]" caption="player_count" attribute="1" defaultMemberUniqueName="[steam_app_database].[player_count].[All]" allUniqueName="[steam_app_database].[player_count].[All]" dimensionUniqueName="[steam_app_database]" displayFolder="" count="0" memberValueDatatype="20" unbalanced="0"/>
    <cacheHierarchy uniqueName="[steam_app_database].[review_score]" caption="review_score" attribute="1" defaultMemberUniqueName="[steam_app_database].[review_score].[All]" allUniqueName="[steam_app_database].[review_score].[All]" dimensionUniqueName="[steam_app_database]" displayFolder="" count="0" memberValueDatatype="20" unbalanced="0"/>
    <cacheHierarchy uniqueName="[steam_app_database].[review_score_desc]" caption="review_score_desc" attribute="1" defaultMemberUniqueName="[steam_app_database].[review_score_desc].[All]" allUniqueName="[steam_app_database].[review_score_desc].[All]" dimensionUniqueName="[steam_app_database]" displayFolder="" count="0" memberValueDatatype="130" unbalanced="0"/>
    <cacheHierarchy uniqueName="[steam_app_database].[total_positive]" caption="total_positive" attribute="1" defaultMemberUniqueName="[steam_app_database].[total_positive].[All]" allUniqueName="[steam_app_database].[total_positive].[All]" dimensionUniqueName="[steam_app_database]" displayFolder="" count="0" memberValueDatatype="20" unbalanced="0"/>
    <cacheHierarchy uniqueName="[steam_app_database].[total_negative]" caption="total_negative" attribute="1" defaultMemberUniqueName="[steam_app_database].[total_negative].[All]" allUniqueName="[steam_app_database].[total_negative].[All]" dimensionUniqueName="[steam_app_database]" displayFolder="" count="0" memberValueDatatype="20" unbalanced="0"/>
    <cacheHierarchy uniqueName="[steam_app_database].[total_reviews]" caption="total_reviews" attribute="1" defaultMemberUniqueName="[steam_app_database].[total_reviews].[All]" allUniqueName="[steam_app_database].[total_reviews].[All]" dimensionUniqueName="[steam_app_database]" displayFolder="" count="0" memberValueDatatype="20" unbalanced="0"/>
    <cacheHierarchy uniqueName="[steam_app_database].[free_or_paid]" caption="free_or_paid" attribute="1" defaultMemberUniqueName="[steam_app_database].[free_or_paid].[All]" allUniqueName="[steam_app_database].[free_or_paid].[All]" dimensionUniqueName="[steam_app_database]" displayFolder="" count="2" memberValueDatatype="130" unbalanced="0"/>
    <cacheHierarchy uniqueName="[Measures].[Player Count]" caption="Player Count" measure="1" displayFolder="" measureGroup="steam_app_database" count="0"/>
    <cacheHierarchy uniqueName="[Measures].[Game Count]" caption="Game Count" measure="1" displayFolder="" measureGroup="steam_app_database" count="0"/>
    <cacheHierarchy uniqueName="[Measures].[Average Game Price]" caption="Average Game Price" measure="1" displayFolder="" measureGroup="steam_app_database" count="0"/>
    <cacheHierarchy uniqueName="[Measures].[Positive Review Percentage]" caption="Positive Review Percentage" measure="1" displayFolder="" measureGroup="steam_app_database" count="0"/>
    <cacheHierarchy uniqueName="[Measures].[Negative Review Percentage]" caption="Negative Review Percentage" measure="1" displayFolder="" measureGroup="steam_app_database" count="0"/>
    <cacheHierarchy uniqueName="[Measures].[__XL_Count steam_app_database]" caption="__XL_Count steam_app_database" measure="1" displayFolder="" measureGroup="steam_app_database" count="0" hidden="1"/>
    <cacheHierarchy uniqueName="[Measures].[__XL_Count Calendar]" caption="__XL_Count Calendar" measure="1" displayFolder="" measureGroup="release_calendar" count="0" hidden="1"/>
    <cacheHierarchy uniqueName="[Measures].[__No measures defined]" caption="__No measures defined" measure="1" displayFolder="" count="0" hidden="1"/>
    <cacheHierarchy uniqueName="[Measures].[Count of player_count]" caption="Count of player_count" measure="1" displayFolder="" measureGroup="steam_app_database" count="0" hidden="1">
      <extLst>
        <ext xmlns:x15="http://schemas.microsoft.com/office/spreadsheetml/2010/11/main" uri="{B97F6D7D-B522-45F9-BDA1-12C45D357490}">
          <x15:cacheHierarchy aggregatedColumn="17"/>
        </ext>
      </extLst>
    </cacheHierarchy>
    <cacheHierarchy uniqueName="[Measures].[Count of name]" caption="Count of name" measure="1" displayFolder="" measureGroup="steam_app_database" count="0" hidden="1">
      <extLst>
        <ext xmlns:x15="http://schemas.microsoft.com/office/spreadsheetml/2010/11/main" uri="{B97F6D7D-B522-45F9-BDA1-12C45D357490}">
          <x15:cacheHierarchy aggregatedColumn="9"/>
        </ext>
      </extLst>
    </cacheHierarchy>
    <cacheHierarchy uniqueName="[Measures].[Sum of player_count]" caption="Sum of player_count" measure="1" displayFolder="" measureGroup="steam_app_database" count="0" hidden="1">
      <extLst>
        <ext xmlns:x15="http://schemas.microsoft.com/office/spreadsheetml/2010/11/main" uri="{B97F6D7D-B522-45F9-BDA1-12C45D357490}">
          <x15:cacheHierarchy aggregatedColumn="17"/>
        </ext>
      </extLst>
    </cacheHierarchy>
    <cacheHierarchy uniqueName="[Measures].[Sum of Year]" caption="Sum of Year" measure="1" displayFolder="" measureGroup="release_calendar" count="0" hidden="1">
      <extLst>
        <ext xmlns:x15="http://schemas.microsoft.com/office/spreadsheetml/2010/11/main" uri="{B97F6D7D-B522-45F9-BDA1-12C45D357490}">
          <x15:cacheHierarchy aggregatedColumn="2"/>
        </ext>
      </extLst>
    </cacheHierarchy>
    <cacheHierarchy uniqueName="[Measures].[Count of appid]" caption="Count of appid" measure="1" displayFolder="" measureGroup="steam_app_database" count="0" hidden="1">
      <extLst>
        <ext xmlns:x15="http://schemas.microsoft.com/office/spreadsheetml/2010/11/main" uri="{B97F6D7D-B522-45F9-BDA1-12C45D357490}">
          <x15:cacheHierarchy aggregatedColumn="8"/>
        </ext>
      </extLst>
    </cacheHierarchy>
    <cacheHierarchy uniqueName="[Measures].[Sum of price_usd]" caption="Sum of price_usd" measure="1" displayFolder="" measureGroup="steam_app_database" count="0" hidden="1">
      <extLst>
        <ext xmlns:x15="http://schemas.microsoft.com/office/spreadsheetml/2010/11/main" uri="{B97F6D7D-B522-45F9-BDA1-12C45D357490}">
          <x15:cacheHierarchy aggregatedColumn="12"/>
        </ext>
      </extLst>
    </cacheHierarchy>
    <cacheHierarchy uniqueName="[Measures].[Average of price_usd]" caption="Average of price_usd" measure="1" displayFolder="" measureGroup="steam_app_database" count="0" hidden="1">
      <extLst>
        <ext xmlns:x15="http://schemas.microsoft.com/office/spreadsheetml/2010/11/main" uri="{B97F6D7D-B522-45F9-BDA1-12C45D357490}">
          <x15:cacheHierarchy aggregatedColumn="12"/>
        </ext>
      </extLst>
    </cacheHierarchy>
    <cacheHierarchy uniqueName="[Measures].[Sum of review_score]" caption="Sum of review_score" measure="1" displayFolder="" measureGroup="steam_app_database" count="0" hidden="1">
      <extLst>
        <ext xmlns:x15="http://schemas.microsoft.com/office/spreadsheetml/2010/11/main" uri="{B97F6D7D-B522-45F9-BDA1-12C45D357490}">
          <x15:cacheHierarchy aggregatedColumn="18"/>
        </ext>
      </extLst>
    </cacheHierarchy>
    <cacheHierarchy uniqueName="[Measures].[Sum of total_positive]" caption="Sum of total_positive" measure="1" displayFolder="" measureGroup="steam_app_database" count="0" hidden="1">
      <extLst>
        <ext xmlns:x15="http://schemas.microsoft.com/office/spreadsheetml/2010/11/main" uri="{B97F6D7D-B522-45F9-BDA1-12C45D357490}">
          <x15:cacheHierarchy aggregatedColumn="20"/>
        </ext>
      </extLst>
    </cacheHierarchy>
    <cacheHierarchy uniqueName="[Measures].[Sum of total_reviews]" caption="Sum of total_reviews" measure="1" displayFolder="" measureGroup="steam_app_database" count="0" hidden="1">
      <extLst>
        <ext xmlns:x15="http://schemas.microsoft.com/office/spreadsheetml/2010/11/main" uri="{B97F6D7D-B522-45F9-BDA1-12C45D357490}">
          <x15:cacheHierarchy aggregatedColumn="22"/>
        </ext>
      </extLst>
    </cacheHierarchy>
    <cacheHierarchy uniqueName="[Measures].[Sum of total_negative]" caption="Sum of total_negative" measure="1" displayFolder="" measureGroup="steam_app_database" count="0" hidden="1">
      <extLst>
        <ext xmlns:x15="http://schemas.microsoft.com/office/spreadsheetml/2010/11/main" uri="{B97F6D7D-B522-45F9-BDA1-12C45D357490}">
          <x15:cacheHierarchy aggregatedColumn="21"/>
        </ext>
      </extLst>
    </cacheHierarchy>
    <cacheHierarchy uniqueName="[Measures].[Average of player_count]" caption="Average of player_count" measure="1" displayFolder="" measureGroup="steam_app_database" count="0" hidden="1">
      <extLst>
        <ext xmlns:x15="http://schemas.microsoft.com/office/spreadsheetml/2010/11/main" uri="{B97F6D7D-B522-45F9-BDA1-12C45D357490}">
          <x15:cacheHierarchy aggregatedColumn="17"/>
        </ext>
      </extLst>
    </cacheHierarchy>
    <cacheHierarchy uniqueName="[Measures].[Count of genre]" caption="Count of genre" measure="1" displayFolder="" measureGroup="steam_app_database" count="0" hidden="1">
      <extLst>
        <ext xmlns:x15="http://schemas.microsoft.com/office/spreadsheetml/2010/11/main" uri="{B97F6D7D-B522-45F9-BDA1-12C45D357490}">
          <x15:cacheHierarchy aggregatedColumn="13"/>
        </ext>
      </extLst>
    </cacheHierarchy>
    <cacheHierarchy uniqueName="[Measures].[Count of free_or_paid]" caption="Count of free_or_paid" measure="1" displayFolder="" measureGroup="steam_app_database" count="0" hidden="1">
      <extLst>
        <ext xmlns:x15="http://schemas.microsoft.com/office/spreadsheetml/2010/11/main" uri="{B97F6D7D-B522-45F9-BDA1-12C45D357490}">
          <x15:cacheHierarchy aggregatedColumn="23"/>
        </ext>
      </extLst>
    </cacheHierarchy>
  </cacheHierarchies>
  <kpis count="0"/>
  <extLst>
    <ext xmlns:x14="http://schemas.microsoft.com/office/spreadsheetml/2009/9/main" uri="{725AE2AE-9491-48be-B2B4-4EB974FC3084}">
      <x14:pivotCacheDefinition slicerData="1" pivotCacheId="418402143"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ngston Stewart" refreshedDate="46265.989934953701" backgroundQuery="1" createdVersion="3" refreshedVersion="8" minRefreshableVersion="3" recordCount="0" supportSubquery="1" supportAdvancedDrill="1" xr:uid="{211D2E35-420C-4E5D-96FC-CF933A194CF0}">
  <cacheSource type="external" connectionId="4">
    <extLst>
      <ext xmlns:x14="http://schemas.microsoft.com/office/spreadsheetml/2009/9/main" uri="{F057638F-6D5F-4e77-A914-E7F072B9BCA8}">
        <x14:sourceConnection name="ThisWorkbookDataModel"/>
      </ext>
    </extLst>
  </cacheSource>
  <cacheFields count="0"/>
  <cacheHierarchies count="45">
    <cacheHierarchy uniqueName="[release_calendar].[Date]" caption="Date" attribute="1" time="1" keyAttribute="1" defaultMemberUniqueName="[release_calendar].[Date].[All]" allUniqueName="[release_calendar].[Date].[All]" dimensionUniqueName="[release_calendar]" displayFolder="" count="0" memberValueDatatype="7" unbalanced="0"/>
    <cacheHierarchy uniqueName="[release_calendar].[Date Hierarchy]" caption="Date Hierarchy" time="1" defaultMemberUniqueName="[release_calendar].[Date Hierarchy].[All]" allUniqueName="[release_calendar].[Date Hierarchy].[All]" dimensionUniqueName="[release_calendar]" displayFolder="" count="0" unbalanced="0"/>
    <cacheHierarchy uniqueName="[release_calendar].[Year]" caption="Year" attribute="1" time="1" defaultMemberUniqueName="[release_calendar].[Year].[All]" allUniqueName="[release_calendar].[Year].[All]" dimensionUniqueName="[release_calendar]" displayFolder="" count="0" memberValueDatatype="20" unbalanced="0"/>
    <cacheHierarchy uniqueName="[release_calendar].[Month Number]" caption="Month Number" attribute="1" time="1" defaultMemberUniqueName="[release_calendar].[Month Number].[All]" allUniqueName="[release_calendar].[Month Number].[All]" dimensionUniqueName="[release_calendar]" displayFolder="" count="0" memberValueDatatype="20" unbalanced="0"/>
    <cacheHierarchy uniqueName="[release_calendar].[Month]" caption="Month" attribute="1" time="1" defaultMemberUniqueName="[release_calendar].[Month].[All]" allUniqueName="[release_calendar].[Month].[All]" dimensionUniqueName="[release_calendar]" displayFolder="" count="0" memberValueDatatype="130" unbalanced="0"/>
    <cacheHierarchy uniqueName="[release_calendar].[MMM-YYYY]" caption="MMM-YYYY" attribute="1" time="1" defaultMemberUniqueName="[release_calendar].[MMM-YYYY].[All]" allUniqueName="[release_calendar].[MMM-YYYY].[All]" dimensionUniqueName="[release_calendar]" displayFolder="" count="0" memberValueDatatype="130" unbalanced="0"/>
    <cacheHierarchy uniqueName="[release_calendar].[Day Of Week Number]" caption="Day Of Week Number" attribute="1" time="1" defaultMemberUniqueName="[release_calendar].[Day Of Week Number].[All]" allUniqueName="[release_calendar].[Day Of Week Number].[All]" dimensionUniqueName="[release_calendar]" displayFolder="" count="0" memberValueDatatype="20" unbalanced="0"/>
    <cacheHierarchy uniqueName="[release_calendar].[Day Of Week]" caption="Day Of Week" attribute="1" time="1" defaultMemberUniqueName="[release_calendar].[Day Of Week].[All]" allUniqueName="[release_calendar].[Day Of Week].[All]" dimensionUniqueName="[release_calendar]" displayFolder="" count="0" memberValueDatatype="130" unbalanced="0"/>
    <cacheHierarchy uniqueName="[steam_app_database].[appid]" caption="appid" attribute="1" defaultMemberUniqueName="[steam_app_database].[appid].[All]" allUniqueName="[steam_app_database].[appid].[All]" dimensionUniqueName="[steam_app_database]" displayFolder="" count="0" memberValueDatatype="130" unbalanced="0"/>
    <cacheHierarchy uniqueName="[steam_app_database].[name]" caption="name" attribute="1" defaultMemberUniqueName="[steam_app_database].[name].[All]" allUniqueName="[steam_app_database].[name].[All]" dimensionUniqueName="[steam_app_database]" displayFolder="" count="0" memberValueDatatype="130" unbalanced="0"/>
    <cacheHierarchy uniqueName="[steam_app_database].[releasedate]" caption="releasedate" attribute="1" time="1" defaultMemberUniqueName="[steam_app_database].[releasedate].[All]" allUniqueName="[steam_app_database].[releasedate].[All]" dimensionUniqueName="[steam_app_database]" displayFolder="" count="2" memberValueDatatype="7" unbalanced="0"/>
    <cacheHierarchy uniqueName="[steam_app_database].[is_free]" caption="is_free" attribute="1" defaultMemberUniqueName="[steam_app_database].[is_free].[All]" allUniqueName="[steam_app_database].[is_free].[All]" dimensionUniqueName="[steam_app_database]" displayFolder="" count="0" memberValueDatatype="130" unbalanced="0"/>
    <cacheHierarchy uniqueName="[steam_app_database].[price_usd]" caption="price_usd" attribute="1" defaultMemberUniqueName="[steam_app_database].[price_usd].[All]" allUniqueName="[steam_app_database].[price_usd].[All]" dimensionUniqueName="[steam_app_database]" displayFolder="" count="0" memberValueDatatype="5" unbalanced="0"/>
    <cacheHierarchy uniqueName="[steam_app_database].[genre]" caption="genre" attribute="1" defaultMemberUniqueName="[steam_app_database].[genre].[All]" allUniqueName="[steam_app_database].[genre].[All]" dimensionUniqueName="[steam_app_database]" displayFolder="" count="0" memberValueDatatype="130" unbalanced="0"/>
    <cacheHierarchy uniqueName="[steam_app_database].[achievement_count]" caption="achievement_count" attribute="1" defaultMemberUniqueName="[steam_app_database].[achievement_count].[All]" allUniqueName="[steam_app_database].[achievement_count].[All]" dimensionUniqueName="[steam_app_database]" displayFolder="" count="0" memberValueDatatype="20" unbalanced="0"/>
    <cacheHierarchy uniqueName="[steam_app_database].[developer]" caption="developer" attribute="1" defaultMemberUniqueName="[steam_app_database].[developer].[All]" allUniqueName="[steam_app_database].[developer].[All]" dimensionUniqueName="[steam_app_database]" displayFolder="" count="0" memberValueDatatype="130" unbalanced="0"/>
    <cacheHierarchy uniqueName="[steam_app_database].[publisher]" caption="publisher" attribute="1" defaultMemberUniqueName="[steam_app_database].[publisher].[All]" allUniqueName="[steam_app_database].[publisher].[All]" dimensionUniqueName="[steam_app_database]" displayFolder="" count="0" memberValueDatatype="130" unbalanced="0"/>
    <cacheHierarchy uniqueName="[steam_app_database].[player_count]" caption="player_count" attribute="1" defaultMemberUniqueName="[steam_app_database].[player_count].[All]" allUniqueName="[steam_app_database].[player_count].[All]" dimensionUniqueName="[steam_app_database]" displayFolder="" count="0" memberValueDatatype="20" unbalanced="0"/>
    <cacheHierarchy uniqueName="[steam_app_database].[review_score]" caption="review_score" attribute="1" defaultMemberUniqueName="[steam_app_database].[review_score].[All]" allUniqueName="[steam_app_database].[review_score].[All]" dimensionUniqueName="[steam_app_database]" displayFolder="" count="0" memberValueDatatype="20" unbalanced="0"/>
    <cacheHierarchy uniqueName="[steam_app_database].[review_score_desc]" caption="review_score_desc" attribute="1" defaultMemberUniqueName="[steam_app_database].[review_score_desc].[All]" allUniqueName="[steam_app_database].[review_score_desc].[All]" dimensionUniqueName="[steam_app_database]" displayFolder="" count="0" memberValueDatatype="130" unbalanced="0"/>
    <cacheHierarchy uniqueName="[steam_app_database].[total_positive]" caption="total_positive" attribute="1" defaultMemberUniqueName="[steam_app_database].[total_positive].[All]" allUniqueName="[steam_app_database].[total_positive].[All]" dimensionUniqueName="[steam_app_database]" displayFolder="" count="0" memberValueDatatype="20" unbalanced="0"/>
    <cacheHierarchy uniqueName="[steam_app_database].[total_negative]" caption="total_negative" attribute="1" defaultMemberUniqueName="[steam_app_database].[total_negative].[All]" allUniqueName="[steam_app_database].[total_negative].[All]" dimensionUniqueName="[steam_app_database]" displayFolder="" count="0" memberValueDatatype="20" unbalanced="0"/>
    <cacheHierarchy uniqueName="[steam_app_database].[total_reviews]" caption="total_reviews" attribute="1" defaultMemberUniqueName="[steam_app_database].[total_reviews].[All]" allUniqueName="[steam_app_database].[total_reviews].[All]" dimensionUniqueName="[steam_app_database]" displayFolder="" count="0" memberValueDatatype="20" unbalanced="0"/>
    <cacheHierarchy uniqueName="[steam_app_database].[free_or_paid]" caption="free_or_paid" attribute="1" defaultMemberUniqueName="[steam_app_database].[free_or_paid].[All]" allUniqueName="[steam_app_database].[free_or_paid].[All]" dimensionUniqueName="[steam_app_database]" displayFolder="" count="0" memberValueDatatype="130" unbalanced="0"/>
    <cacheHierarchy uniqueName="[Measures].[Player Count]" caption="Player Count" measure="1" displayFolder="" measureGroup="steam_app_database" count="0"/>
    <cacheHierarchy uniqueName="[Measures].[Game Count]" caption="Game Count" measure="1" displayFolder="" measureGroup="steam_app_database" count="0"/>
    <cacheHierarchy uniqueName="[Measures].[Average Game Price]" caption="Average Game Price" measure="1" displayFolder="" measureGroup="steam_app_database" count="0"/>
    <cacheHierarchy uniqueName="[Measures].[Positive Review Percentage]" caption="Positive Review Percentage" measure="1" displayFolder="" measureGroup="steam_app_database" count="0"/>
    <cacheHierarchy uniqueName="[Measures].[Negative Review Percentage]" caption="Negative Review Percentage" measure="1" displayFolder="" measureGroup="steam_app_database" count="0"/>
    <cacheHierarchy uniqueName="[Measures].[__XL_Count steam_app_database]" caption="__XL_Count steam_app_database" measure="1" displayFolder="" measureGroup="steam_app_database" count="0" hidden="1"/>
    <cacheHierarchy uniqueName="[Measures].[__XL_Count Calendar]" caption="__XL_Count Calendar" measure="1" displayFolder="" measureGroup="release_calendar" count="0" hidden="1"/>
    <cacheHierarchy uniqueName="[Measures].[__No measures defined]" caption="__No measures defined" measure="1" displayFolder="" count="0" hidden="1"/>
    <cacheHierarchy uniqueName="[Measures].[Count of player_count]" caption="Count of player_count" measure="1" displayFolder="" measureGroup="steam_app_database" count="0" hidden="1">
      <extLst>
        <ext xmlns:x15="http://schemas.microsoft.com/office/spreadsheetml/2010/11/main" uri="{B97F6D7D-B522-45F9-BDA1-12C45D357490}">
          <x15:cacheHierarchy aggregatedColumn="17"/>
        </ext>
      </extLst>
    </cacheHierarchy>
    <cacheHierarchy uniqueName="[Measures].[Count of name]" caption="Count of name" measure="1" displayFolder="" measureGroup="steam_app_database" count="0" hidden="1">
      <extLst>
        <ext xmlns:x15="http://schemas.microsoft.com/office/spreadsheetml/2010/11/main" uri="{B97F6D7D-B522-45F9-BDA1-12C45D357490}">
          <x15:cacheHierarchy aggregatedColumn="9"/>
        </ext>
      </extLst>
    </cacheHierarchy>
    <cacheHierarchy uniqueName="[Measures].[Sum of player_count]" caption="Sum of player_count" measure="1" displayFolder="" measureGroup="steam_app_database" count="0" hidden="1">
      <extLst>
        <ext xmlns:x15="http://schemas.microsoft.com/office/spreadsheetml/2010/11/main" uri="{B97F6D7D-B522-45F9-BDA1-12C45D357490}">
          <x15:cacheHierarchy aggregatedColumn="17"/>
        </ext>
      </extLst>
    </cacheHierarchy>
    <cacheHierarchy uniqueName="[Measures].[Sum of Year]" caption="Sum of Year" measure="1" displayFolder="" measureGroup="release_calendar" count="0" hidden="1">
      <extLst>
        <ext xmlns:x15="http://schemas.microsoft.com/office/spreadsheetml/2010/11/main" uri="{B97F6D7D-B522-45F9-BDA1-12C45D357490}">
          <x15:cacheHierarchy aggregatedColumn="2"/>
        </ext>
      </extLst>
    </cacheHierarchy>
    <cacheHierarchy uniqueName="[Measures].[Count of appid]" caption="Count of appid" measure="1" displayFolder="" measureGroup="steam_app_database" count="0" hidden="1">
      <extLst>
        <ext xmlns:x15="http://schemas.microsoft.com/office/spreadsheetml/2010/11/main" uri="{B97F6D7D-B522-45F9-BDA1-12C45D357490}">
          <x15:cacheHierarchy aggregatedColumn="8"/>
        </ext>
      </extLst>
    </cacheHierarchy>
    <cacheHierarchy uniqueName="[Measures].[Sum of price_usd]" caption="Sum of price_usd" measure="1" displayFolder="" measureGroup="steam_app_database" count="0" hidden="1">
      <extLst>
        <ext xmlns:x15="http://schemas.microsoft.com/office/spreadsheetml/2010/11/main" uri="{B97F6D7D-B522-45F9-BDA1-12C45D357490}">
          <x15:cacheHierarchy aggregatedColumn="12"/>
        </ext>
      </extLst>
    </cacheHierarchy>
    <cacheHierarchy uniqueName="[Measures].[Average of price_usd]" caption="Average of price_usd" measure="1" displayFolder="" measureGroup="steam_app_database" count="0" hidden="1">
      <extLst>
        <ext xmlns:x15="http://schemas.microsoft.com/office/spreadsheetml/2010/11/main" uri="{B97F6D7D-B522-45F9-BDA1-12C45D357490}">
          <x15:cacheHierarchy aggregatedColumn="12"/>
        </ext>
      </extLst>
    </cacheHierarchy>
    <cacheHierarchy uniqueName="[Measures].[Sum of review_score]" caption="Sum of review_score" measure="1" displayFolder="" measureGroup="steam_app_database" count="0" hidden="1">
      <extLst>
        <ext xmlns:x15="http://schemas.microsoft.com/office/spreadsheetml/2010/11/main" uri="{B97F6D7D-B522-45F9-BDA1-12C45D357490}">
          <x15:cacheHierarchy aggregatedColumn="18"/>
        </ext>
      </extLst>
    </cacheHierarchy>
    <cacheHierarchy uniqueName="[Measures].[Sum of total_positive]" caption="Sum of total_positive" measure="1" displayFolder="" measureGroup="steam_app_database" count="0" hidden="1">
      <extLst>
        <ext xmlns:x15="http://schemas.microsoft.com/office/spreadsheetml/2010/11/main" uri="{B97F6D7D-B522-45F9-BDA1-12C45D357490}">
          <x15:cacheHierarchy aggregatedColumn="20"/>
        </ext>
      </extLst>
    </cacheHierarchy>
    <cacheHierarchy uniqueName="[Measures].[Sum of total_reviews]" caption="Sum of total_reviews" measure="1" displayFolder="" measureGroup="steam_app_database" count="0" hidden="1">
      <extLst>
        <ext xmlns:x15="http://schemas.microsoft.com/office/spreadsheetml/2010/11/main" uri="{B97F6D7D-B522-45F9-BDA1-12C45D357490}">
          <x15:cacheHierarchy aggregatedColumn="22"/>
        </ext>
      </extLst>
    </cacheHierarchy>
    <cacheHierarchy uniqueName="[Measures].[Sum of total_negative]" caption="Sum of total_negative" measure="1" displayFolder="" measureGroup="steam_app_database" count="0" hidden="1">
      <extLst>
        <ext xmlns:x15="http://schemas.microsoft.com/office/spreadsheetml/2010/11/main" uri="{B97F6D7D-B522-45F9-BDA1-12C45D357490}">
          <x15:cacheHierarchy aggregatedColumn="21"/>
        </ext>
      </extLst>
    </cacheHierarchy>
    <cacheHierarchy uniqueName="[Measures].[Average of player_count]" caption="Average of player_count" measure="1" displayFolder="" measureGroup="steam_app_database" count="0" hidden="1">
      <extLst>
        <ext xmlns:x15="http://schemas.microsoft.com/office/spreadsheetml/2010/11/main" uri="{B97F6D7D-B522-45F9-BDA1-12C45D357490}">
          <x15:cacheHierarchy aggregatedColumn="17"/>
        </ext>
      </extLst>
    </cacheHierarchy>
    <cacheHierarchy uniqueName="[Measures].[Count of genre]" caption="Count of genre" measure="1" displayFolder="" measureGroup="steam_app_database"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pivotCacheId="129286681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ngston Stewart" refreshedDate="46265.98993773148" backgroundQuery="1" createdVersion="3" refreshedVersion="8" minRefreshableVersion="3" recordCount="0" supportSubquery="1" supportAdvancedDrill="1" xr:uid="{B8B27288-5893-445E-9586-0FDBC4FBBD1A}">
  <cacheSource type="external" connectionId="4">
    <extLst>
      <ext xmlns:x14="http://schemas.microsoft.com/office/spreadsheetml/2009/9/main" uri="{F057638F-6D5F-4e77-A914-E7F072B9BCA8}">
        <x14:sourceConnection name="ThisWorkbookDataModel"/>
      </ext>
    </extLst>
  </cacheSource>
  <cacheFields count="0"/>
  <cacheHierarchies count="45">
    <cacheHierarchy uniqueName="[release_calendar].[Date]" caption="Date" attribute="1" time="1" keyAttribute="1" defaultMemberUniqueName="[release_calendar].[Date].[All]" allUniqueName="[release_calendar].[Date].[All]" dimensionUniqueName="[release_calendar]" displayFolder="" count="2" memberValueDatatype="7" unbalanced="0"/>
    <cacheHierarchy uniqueName="[release_calendar].[Date Hierarchy]" caption="Date Hierarchy" time="1" defaultMemberUniqueName="[release_calendar].[Date Hierarchy].[All]" allUniqueName="[release_calendar].[Date Hierarchy].[All]" dimensionUniqueName="[release_calendar]" displayFolder="" count="0" unbalanced="0"/>
    <cacheHierarchy uniqueName="[release_calendar].[Year]" caption="Year" attribute="1" time="1" defaultMemberUniqueName="[release_calendar].[Year].[All]" allUniqueName="[release_calendar].[Year].[All]" dimensionUniqueName="[release_calendar]" displayFolder="" count="0" memberValueDatatype="20" unbalanced="0"/>
    <cacheHierarchy uniqueName="[release_calendar].[Month Number]" caption="Month Number" attribute="1" time="1" defaultMemberUniqueName="[release_calendar].[Month Number].[All]" allUniqueName="[release_calendar].[Month Number].[All]" dimensionUniqueName="[release_calendar]" displayFolder="" count="0" memberValueDatatype="20" unbalanced="0"/>
    <cacheHierarchy uniqueName="[release_calendar].[Month]" caption="Month" attribute="1" time="1" defaultMemberUniqueName="[release_calendar].[Month].[All]" allUniqueName="[release_calendar].[Month].[All]" dimensionUniqueName="[release_calendar]" displayFolder="" count="0" memberValueDatatype="130" unbalanced="0"/>
    <cacheHierarchy uniqueName="[release_calendar].[MMM-YYYY]" caption="MMM-YYYY" attribute="1" time="1" defaultMemberUniqueName="[release_calendar].[MMM-YYYY].[All]" allUniqueName="[release_calendar].[MMM-YYYY].[All]" dimensionUniqueName="[release_calendar]" displayFolder="" count="0" memberValueDatatype="130" unbalanced="0"/>
    <cacheHierarchy uniqueName="[release_calendar].[Day Of Week Number]" caption="Day Of Week Number" attribute="1" time="1" defaultMemberUniqueName="[release_calendar].[Day Of Week Number].[All]" allUniqueName="[release_calendar].[Day Of Week Number].[All]" dimensionUniqueName="[release_calendar]" displayFolder="" count="0" memberValueDatatype="20" unbalanced="0"/>
    <cacheHierarchy uniqueName="[release_calendar].[Day Of Week]" caption="Day Of Week" attribute="1" time="1" defaultMemberUniqueName="[release_calendar].[Day Of Week].[All]" allUniqueName="[release_calendar].[Day Of Week].[All]" dimensionUniqueName="[release_calendar]" displayFolder="" count="0" memberValueDatatype="130" unbalanced="0"/>
    <cacheHierarchy uniqueName="[steam_app_database].[appid]" caption="appid" attribute="1" defaultMemberUniqueName="[steam_app_database].[appid].[All]" allUniqueName="[steam_app_database].[appid].[All]" dimensionUniqueName="[steam_app_database]" displayFolder="" count="0" memberValueDatatype="130" unbalanced="0"/>
    <cacheHierarchy uniqueName="[steam_app_database].[name]" caption="name" attribute="1" defaultMemberUniqueName="[steam_app_database].[name].[All]" allUniqueName="[steam_app_database].[name].[All]" dimensionUniqueName="[steam_app_database]" displayFolder="" count="0" memberValueDatatype="130" unbalanced="0"/>
    <cacheHierarchy uniqueName="[steam_app_database].[releasedate]" caption="releasedate" attribute="1" time="1" defaultMemberUniqueName="[steam_app_database].[releasedate].[All]" allUniqueName="[steam_app_database].[releasedate].[All]" dimensionUniqueName="[steam_app_database]" displayFolder="" count="0" memberValueDatatype="7" unbalanced="0"/>
    <cacheHierarchy uniqueName="[steam_app_database].[is_free]" caption="is_free" attribute="1" defaultMemberUniqueName="[steam_app_database].[is_free].[All]" allUniqueName="[steam_app_database].[is_free].[All]" dimensionUniqueName="[steam_app_database]" displayFolder="" count="0" memberValueDatatype="130" unbalanced="0"/>
    <cacheHierarchy uniqueName="[steam_app_database].[price_usd]" caption="price_usd" attribute="1" defaultMemberUniqueName="[steam_app_database].[price_usd].[All]" allUniqueName="[steam_app_database].[price_usd].[All]" dimensionUniqueName="[steam_app_database]" displayFolder="" count="0" memberValueDatatype="5" unbalanced="0"/>
    <cacheHierarchy uniqueName="[steam_app_database].[genre]" caption="genre" attribute="1" defaultMemberUniqueName="[steam_app_database].[genre].[All]" allUniqueName="[steam_app_database].[genre].[All]" dimensionUniqueName="[steam_app_database]" displayFolder="" count="0" memberValueDatatype="130" unbalanced="0"/>
    <cacheHierarchy uniqueName="[steam_app_database].[achievement_count]" caption="achievement_count" attribute="1" defaultMemberUniqueName="[steam_app_database].[achievement_count].[All]" allUniqueName="[steam_app_database].[achievement_count].[All]" dimensionUniqueName="[steam_app_database]" displayFolder="" count="0" memberValueDatatype="20" unbalanced="0"/>
    <cacheHierarchy uniqueName="[steam_app_database].[developer]" caption="developer" attribute="1" defaultMemberUniqueName="[steam_app_database].[developer].[All]" allUniqueName="[steam_app_database].[developer].[All]" dimensionUniqueName="[steam_app_database]" displayFolder="" count="0" memberValueDatatype="130" unbalanced="0"/>
    <cacheHierarchy uniqueName="[steam_app_database].[publisher]" caption="publisher" attribute="1" defaultMemberUniqueName="[steam_app_database].[publisher].[All]" allUniqueName="[steam_app_database].[publisher].[All]" dimensionUniqueName="[steam_app_database]" displayFolder="" count="0" memberValueDatatype="130" unbalanced="0"/>
    <cacheHierarchy uniqueName="[steam_app_database].[player_count]" caption="player_count" attribute="1" defaultMemberUniqueName="[steam_app_database].[player_count].[All]" allUniqueName="[steam_app_database].[player_count].[All]" dimensionUniqueName="[steam_app_database]" displayFolder="" count="0" memberValueDatatype="20" unbalanced="0"/>
    <cacheHierarchy uniqueName="[steam_app_database].[review_score]" caption="review_score" attribute="1" defaultMemberUniqueName="[steam_app_database].[review_score].[All]" allUniqueName="[steam_app_database].[review_score].[All]" dimensionUniqueName="[steam_app_database]" displayFolder="" count="0" memberValueDatatype="20" unbalanced="0"/>
    <cacheHierarchy uniqueName="[steam_app_database].[review_score_desc]" caption="review_score_desc" attribute="1" defaultMemberUniqueName="[steam_app_database].[review_score_desc].[All]" allUniqueName="[steam_app_database].[review_score_desc].[All]" dimensionUniqueName="[steam_app_database]" displayFolder="" count="0" memberValueDatatype="130" unbalanced="0"/>
    <cacheHierarchy uniqueName="[steam_app_database].[total_positive]" caption="total_positive" attribute="1" defaultMemberUniqueName="[steam_app_database].[total_positive].[All]" allUniqueName="[steam_app_database].[total_positive].[All]" dimensionUniqueName="[steam_app_database]" displayFolder="" count="0" memberValueDatatype="20" unbalanced="0"/>
    <cacheHierarchy uniqueName="[steam_app_database].[total_negative]" caption="total_negative" attribute="1" defaultMemberUniqueName="[steam_app_database].[total_negative].[All]" allUniqueName="[steam_app_database].[total_negative].[All]" dimensionUniqueName="[steam_app_database]" displayFolder="" count="0" memberValueDatatype="20" unbalanced="0"/>
    <cacheHierarchy uniqueName="[steam_app_database].[total_reviews]" caption="total_reviews" attribute="1" defaultMemberUniqueName="[steam_app_database].[total_reviews].[All]" allUniqueName="[steam_app_database].[total_reviews].[All]" dimensionUniqueName="[steam_app_database]" displayFolder="" count="0" memberValueDatatype="20" unbalanced="0"/>
    <cacheHierarchy uniqueName="[steam_app_database].[free_or_paid]" caption="free_or_paid" attribute="1" defaultMemberUniqueName="[steam_app_database].[free_or_paid].[All]" allUniqueName="[steam_app_database].[free_or_paid].[All]" dimensionUniqueName="[steam_app_database]" displayFolder="" count="0" memberValueDatatype="130" unbalanced="0"/>
    <cacheHierarchy uniqueName="[Measures].[Player Count]" caption="Player Count" measure="1" displayFolder="" measureGroup="steam_app_database" count="0"/>
    <cacheHierarchy uniqueName="[Measures].[Game Count]" caption="Game Count" measure="1" displayFolder="" measureGroup="steam_app_database" count="0"/>
    <cacheHierarchy uniqueName="[Measures].[Average Game Price]" caption="Average Game Price" measure="1" displayFolder="" measureGroup="steam_app_database" count="0"/>
    <cacheHierarchy uniqueName="[Measures].[Positive Review Percentage]" caption="Positive Review Percentage" measure="1" displayFolder="" measureGroup="steam_app_database" count="0"/>
    <cacheHierarchy uniqueName="[Measures].[Negative Review Percentage]" caption="Negative Review Percentage" measure="1" displayFolder="" measureGroup="steam_app_database" count="0"/>
    <cacheHierarchy uniqueName="[Measures].[__XL_Count steam_app_database]" caption="__XL_Count steam_app_database" measure="1" displayFolder="" measureGroup="steam_app_database" count="0" hidden="1"/>
    <cacheHierarchy uniqueName="[Measures].[__XL_Count Calendar]" caption="__XL_Count Calendar" measure="1" displayFolder="" measureGroup="release_calendar" count="0" hidden="1"/>
    <cacheHierarchy uniqueName="[Measures].[__No measures defined]" caption="__No measures defined" measure="1" displayFolder="" count="0" hidden="1"/>
    <cacheHierarchy uniqueName="[Measures].[Count of player_count]" caption="Count of player_count" measure="1" displayFolder="" measureGroup="steam_app_database" count="0" hidden="1">
      <extLst>
        <ext xmlns:x15="http://schemas.microsoft.com/office/spreadsheetml/2010/11/main" uri="{B97F6D7D-B522-45F9-BDA1-12C45D357490}">
          <x15:cacheHierarchy aggregatedColumn="17"/>
        </ext>
      </extLst>
    </cacheHierarchy>
    <cacheHierarchy uniqueName="[Measures].[Count of name]" caption="Count of name" measure="1" displayFolder="" measureGroup="steam_app_database" count="0" hidden="1">
      <extLst>
        <ext xmlns:x15="http://schemas.microsoft.com/office/spreadsheetml/2010/11/main" uri="{B97F6D7D-B522-45F9-BDA1-12C45D357490}">
          <x15:cacheHierarchy aggregatedColumn="9"/>
        </ext>
      </extLst>
    </cacheHierarchy>
    <cacheHierarchy uniqueName="[Measures].[Sum of player_count]" caption="Sum of player_count" measure="1" displayFolder="" measureGroup="steam_app_database" count="0" hidden="1">
      <extLst>
        <ext xmlns:x15="http://schemas.microsoft.com/office/spreadsheetml/2010/11/main" uri="{B97F6D7D-B522-45F9-BDA1-12C45D357490}">
          <x15:cacheHierarchy aggregatedColumn="17"/>
        </ext>
      </extLst>
    </cacheHierarchy>
    <cacheHierarchy uniqueName="[Measures].[Sum of Year]" caption="Sum of Year" measure="1" displayFolder="" measureGroup="release_calendar" count="0" hidden="1">
      <extLst>
        <ext xmlns:x15="http://schemas.microsoft.com/office/spreadsheetml/2010/11/main" uri="{B97F6D7D-B522-45F9-BDA1-12C45D357490}">
          <x15:cacheHierarchy aggregatedColumn="2"/>
        </ext>
      </extLst>
    </cacheHierarchy>
    <cacheHierarchy uniqueName="[Measures].[Count of appid]" caption="Count of appid" measure="1" displayFolder="" measureGroup="steam_app_database" count="0" hidden="1">
      <extLst>
        <ext xmlns:x15="http://schemas.microsoft.com/office/spreadsheetml/2010/11/main" uri="{B97F6D7D-B522-45F9-BDA1-12C45D357490}">
          <x15:cacheHierarchy aggregatedColumn="8"/>
        </ext>
      </extLst>
    </cacheHierarchy>
    <cacheHierarchy uniqueName="[Measures].[Sum of price_usd]" caption="Sum of price_usd" measure="1" displayFolder="" measureGroup="steam_app_database" count="0" hidden="1">
      <extLst>
        <ext xmlns:x15="http://schemas.microsoft.com/office/spreadsheetml/2010/11/main" uri="{B97F6D7D-B522-45F9-BDA1-12C45D357490}">
          <x15:cacheHierarchy aggregatedColumn="12"/>
        </ext>
      </extLst>
    </cacheHierarchy>
    <cacheHierarchy uniqueName="[Measures].[Average of price_usd]" caption="Average of price_usd" measure="1" displayFolder="" measureGroup="steam_app_database" count="0" hidden="1">
      <extLst>
        <ext xmlns:x15="http://schemas.microsoft.com/office/spreadsheetml/2010/11/main" uri="{B97F6D7D-B522-45F9-BDA1-12C45D357490}">
          <x15:cacheHierarchy aggregatedColumn="12"/>
        </ext>
      </extLst>
    </cacheHierarchy>
    <cacheHierarchy uniqueName="[Measures].[Sum of review_score]" caption="Sum of review_score" measure="1" displayFolder="" measureGroup="steam_app_database" count="0" hidden="1">
      <extLst>
        <ext xmlns:x15="http://schemas.microsoft.com/office/spreadsheetml/2010/11/main" uri="{B97F6D7D-B522-45F9-BDA1-12C45D357490}">
          <x15:cacheHierarchy aggregatedColumn="18"/>
        </ext>
      </extLst>
    </cacheHierarchy>
    <cacheHierarchy uniqueName="[Measures].[Sum of total_positive]" caption="Sum of total_positive" measure="1" displayFolder="" measureGroup="steam_app_database" count="0" hidden="1">
      <extLst>
        <ext xmlns:x15="http://schemas.microsoft.com/office/spreadsheetml/2010/11/main" uri="{B97F6D7D-B522-45F9-BDA1-12C45D357490}">
          <x15:cacheHierarchy aggregatedColumn="20"/>
        </ext>
      </extLst>
    </cacheHierarchy>
    <cacheHierarchy uniqueName="[Measures].[Sum of total_reviews]" caption="Sum of total_reviews" measure="1" displayFolder="" measureGroup="steam_app_database" count="0" hidden="1">
      <extLst>
        <ext xmlns:x15="http://schemas.microsoft.com/office/spreadsheetml/2010/11/main" uri="{B97F6D7D-B522-45F9-BDA1-12C45D357490}">
          <x15:cacheHierarchy aggregatedColumn="22"/>
        </ext>
      </extLst>
    </cacheHierarchy>
    <cacheHierarchy uniqueName="[Measures].[Sum of total_negative]" caption="Sum of total_negative" measure="1" displayFolder="" measureGroup="steam_app_database" count="0" hidden="1">
      <extLst>
        <ext xmlns:x15="http://schemas.microsoft.com/office/spreadsheetml/2010/11/main" uri="{B97F6D7D-B522-45F9-BDA1-12C45D357490}">
          <x15:cacheHierarchy aggregatedColumn="21"/>
        </ext>
      </extLst>
    </cacheHierarchy>
    <cacheHierarchy uniqueName="[Measures].[Average of player_count]" caption="Average of player_count" measure="1" displayFolder="" measureGroup="steam_app_database" count="0" hidden="1">
      <extLst>
        <ext xmlns:x15="http://schemas.microsoft.com/office/spreadsheetml/2010/11/main" uri="{B97F6D7D-B522-45F9-BDA1-12C45D357490}">
          <x15:cacheHierarchy aggregatedColumn="17"/>
        </ext>
      </extLst>
    </cacheHierarchy>
    <cacheHierarchy uniqueName="[Measures].[Count of genre]" caption="Count of genre" measure="1" displayFolder="" measureGroup="steam_app_database"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pivotCacheId="13626172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ngston Stewart" refreshedDate="46267.744212731479" backgroundQuery="1" createdVersion="3" refreshedVersion="8" minRefreshableVersion="3" recordCount="0" supportSubquery="1" supportAdvancedDrill="1" xr:uid="{630E937F-836A-4C3C-A7D0-77B73A47C859}">
  <cacheSource type="external" connectionId="4">
    <extLst>
      <ext xmlns:x14="http://schemas.microsoft.com/office/spreadsheetml/2009/9/main" uri="{F057638F-6D5F-4e77-A914-E7F072B9BCA8}">
        <x14:sourceConnection name="ThisWorkbookDataModel"/>
      </ext>
    </extLst>
  </cacheSource>
  <cacheFields count="0"/>
  <cacheHierarchies count="46">
    <cacheHierarchy uniqueName="[release_calendar].[Date]" caption="Date" attribute="1" time="1" keyAttribute="1" defaultMemberUniqueName="[release_calendar].[Date].[All]" allUniqueName="[release_calendar].[Date].[All]" dimensionUniqueName="[release_calendar]" displayFolder="" count="2" memberValueDatatype="7" unbalanced="0"/>
    <cacheHierarchy uniqueName="[release_calendar].[Date Hierarchy]" caption="Date Hierarchy" time="1" defaultMemberUniqueName="[release_calendar].[Date Hierarchy].[All]" allUniqueName="[release_calendar].[Date Hierarchy].[All]" dimensionUniqueName="[release_calendar]" displayFolder="" count="0" unbalanced="0"/>
    <cacheHierarchy uniqueName="[release_calendar].[Year]" caption="Year" attribute="1" time="1" defaultMemberUniqueName="[release_calendar].[Year].[All]" allUniqueName="[release_calendar].[Year].[All]" dimensionUniqueName="[release_calendar]" displayFolder="" count="0" memberValueDatatype="20" unbalanced="0"/>
    <cacheHierarchy uniqueName="[release_calendar].[Month Number]" caption="Month Number" attribute="1" time="1" defaultMemberUniqueName="[release_calendar].[Month Number].[All]" allUniqueName="[release_calendar].[Month Number].[All]" dimensionUniqueName="[release_calendar]" displayFolder="" count="0" memberValueDatatype="20" unbalanced="0"/>
    <cacheHierarchy uniqueName="[release_calendar].[Month]" caption="Month" attribute="1" time="1" defaultMemberUniqueName="[release_calendar].[Month].[All]" allUniqueName="[release_calendar].[Month].[All]" dimensionUniqueName="[release_calendar]" displayFolder="" count="0" memberValueDatatype="130" unbalanced="0"/>
    <cacheHierarchy uniqueName="[release_calendar].[MMM-YYYY]" caption="MMM-YYYY" attribute="1" time="1" defaultMemberUniqueName="[release_calendar].[MMM-YYYY].[All]" allUniqueName="[release_calendar].[MMM-YYYY].[All]" dimensionUniqueName="[release_calendar]" displayFolder="" count="0" memberValueDatatype="130" unbalanced="0"/>
    <cacheHierarchy uniqueName="[release_calendar].[Day Of Week Number]" caption="Day Of Week Number" attribute="1" time="1" defaultMemberUniqueName="[release_calendar].[Day Of Week Number].[All]" allUniqueName="[release_calendar].[Day Of Week Number].[All]" dimensionUniqueName="[release_calendar]" displayFolder="" count="0" memberValueDatatype="20" unbalanced="0"/>
    <cacheHierarchy uniqueName="[release_calendar].[Day Of Week]" caption="Day Of Week" attribute="1" time="1" defaultMemberUniqueName="[release_calendar].[Day Of Week].[All]" allUniqueName="[release_calendar].[Day Of Week].[All]" dimensionUniqueName="[release_calendar]" displayFolder="" count="0" memberValueDatatype="130" unbalanced="0"/>
    <cacheHierarchy uniqueName="[steam_app_database].[appid]" caption="appid" attribute="1" defaultMemberUniqueName="[steam_app_database].[appid].[All]" allUniqueName="[steam_app_database].[appid].[All]" dimensionUniqueName="[steam_app_database]" displayFolder="" count="0" memberValueDatatype="130" unbalanced="0"/>
    <cacheHierarchy uniqueName="[steam_app_database].[name]" caption="name" attribute="1" defaultMemberUniqueName="[steam_app_database].[name].[All]" allUniqueName="[steam_app_database].[name].[All]" dimensionUniqueName="[steam_app_database]" displayFolder="" count="0" memberValueDatatype="130" unbalanced="0"/>
    <cacheHierarchy uniqueName="[steam_app_database].[releasedate]" caption="releasedate" attribute="1" time="1" defaultMemberUniqueName="[steam_app_database].[releasedate].[All]" allUniqueName="[steam_app_database].[releasedate].[All]" dimensionUniqueName="[steam_app_database]" displayFolder="" count="0" memberValueDatatype="7" unbalanced="0"/>
    <cacheHierarchy uniqueName="[steam_app_database].[is_free]" caption="is_free" attribute="1" defaultMemberUniqueName="[steam_app_database].[is_free].[All]" allUniqueName="[steam_app_database].[is_free].[All]" dimensionUniqueName="[steam_app_database]" displayFolder="" count="0" memberValueDatatype="130" unbalanced="0"/>
    <cacheHierarchy uniqueName="[steam_app_database].[price_usd]" caption="price_usd" attribute="1" defaultMemberUniqueName="[steam_app_database].[price_usd].[All]" allUniqueName="[steam_app_database].[price_usd].[All]" dimensionUniqueName="[steam_app_database]" displayFolder="" count="0" memberValueDatatype="5" unbalanced="0"/>
    <cacheHierarchy uniqueName="[steam_app_database].[genre]" caption="genre" attribute="1" defaultMemberUniqueName="[steam_app_database].[genre].[All]" allUniqueName="[steam_app_database].[genre].[All]" dimensionUniqueName="[steam_app_database]" displayFolder="" count="0" memberValueDatatype="130" unbalanced="0"/>
    <cacheHierarchy uniqueName="[steam_app_database].[achievement_count]" caption="achievement_count" attribute="1" defaultMemberUniqueName="[steam_app_database].[achievement_count].[All]" allUniqueName="[steam_app_database].[achievement_count].[All]" dimensionUniqueName="[steam_app_database]" displayFolder="" count="0" memberValueDatatype="20" unbalanced="0"/>
    <cacheHierarchy uniqueName="[steam_app_database].[developer]" caption="developer" attribute="1" defaultMemberUniqueName="[steam_app_database].[developer].[All]" allUniqueName="[steam_app_database].[developer].[All]" dimensionUniqueName="[steam_app_database]" displayFolder="" count="0" memberValueDatatype="130" unbalanced="0"/>
    <cacheHierarchy uniqueName="[steam_app_database].[publisher]" caption="publisher" attribute="1" defaultMemberUniqueName="[steam_app_database].[publisher].[All]" allUniqueName="[steam_app_database].[publisher].[All]" dimensionUniqueName="[steam_app_database]" displayFolder="" count="0" memberValueDatatype="130" unbalanced="0"/>
    <cacheHierarchy uniqueName="[steam_app_database].[player_count]" caption="player_count" attribute="1" defaultMemberUniqueName="[steam_app_database].[player_count].[All]" allUniqueName="[steam_app_database].[player_count].[All]" dimensionUniqueName="[steam_app_database]" displayFolder="" count="0" memberValueDatatype="20" unbalanced="0"/>
    <cacheHierarchy uniqueName="[steam_app_database].[review_score]" caption="review_score" attribute="1" defaultMemberUniqueName="[steam_app_database].[review_score].[All]" allUniqueName="[steam_app_database].[review_score].[All]" dimensionUniqueName="[steam_app_database]" displayFolder="" count="0" memberValueDatatype="20" unbalanced="0"/>
    <cacheHierarchy uniqueName="[steam_app_database].[review_score_desc]" caption="review_score_desc" attribute="1" defaultMemberUniqueName="[steam_app_database].[review_score_desc].[All]" allUniqueName="[steam_app_database].[review_score_desc].[All]" dimensionUniqueName="[steam_app_database]" displayFolder="" count="0" memberValueDatatype="130" unbalanced="0"/>
    <cacheHierarchy uniqueName="[steam_app_database].[total_positive]" caption="total_positive" attribute="1" defaultMemberUniqueName="[steam_app_database].[total_positive].[All]" allUniqueName="[steam_app_database].[total_positive].[All]" dimensionUniqueName="[steam_app_database]" displayFolder="" count="0" memberValueDatatype="20" unbalanced="0"/>
    <cacheHierarchy uniqueName="[steam_app_database].[total_negative]" caption="total_negative" attribute="1" defaultMemberUniqueName="[steam_app_database].[total_negative].[All]" allUniqueName="[steam_app_database].[total_negative].[All]" dimensionUniqueName="[steam_app_database]" displayFolder="" count="0" memberValueDatatype="20" unbalanced="0"/>
    <cacheHierarchy uniqueName="[steam_app_database].[total_reviews]" caption="total_reviews" attribute="1" defaultMemberUniqueName="[steam_app_database].[total_reviews].[All]" allUniqueName="[steam_app_database].[total_reviews].[All]" dimensionUniqueName="[steam_app_database]" displayFolder="" count="0" memberValueDatatype="20" unbalanced="0"/>
    <cacheHierarchy uniqueName="[steam_app_database].[free_or_paid]" caption="free_or_paid" attribute="1" defaultMemberUniqueName="[steam_app_database].[free_or_paid].[All]" allUniqueName="[steam_app_database].[free_or_paid].[All]" dimensionUniqueName="[steam_app_database]" displayFolder="" count="0" memberValueDatatype="130" unbalanced="0"/>
    <cacheHierarchy uniqueName="[Measures].[Player Count]" caption="Player Count" measure="1" displayFolder="" measureGroup="steam_app_database" count="0"/>
    <cacheHierarchy uniqueName="[Measures].[Game Count]" caption="Game Count" measure="1" displayFolder="" measureGroup="steam_app_database" count="0"/>
    <cacheHierarchy uniqueName="[Measures].[Average Game Price]" caption="Average Game Price" measure="1" displayFolder="" measureGroup="steam_app_database" count="0"/>
    <cacheHierarchy uniqueName="[Measures].[Positive Review Percentage]" caption="Positive Review Percentage" measure="1" displayFolder="" measureGroup="steam_app_database" count="0"/>
    <cacheHierarchy uniqueName="[Measures].[Negative Review Percentage]" caption="Negative Review Percentage" measure="1" displayFolder="" measureGroup="steam_app_database" count="0"/>
    <cacheHierarchy uniqueName="[Measures].[__XL_Count steam_app_database]" caption="__XL_Count steam_app_database" measure="1" displayFolder="" measureGroup="steam_app_database" count="0" hidden="1"/>
    <cacheHierarchy uniqueName="[Measures].[__XL_Count Calendar]" caption="__XL_Count Calendar" measure="1" displayFolder="" measureGroup="release_calendar" count="0" hidden="1"/>
    <cacheHierarchy uniqueName="[Measures].[__No measures defined]" caption="__No measures defined" measure="1" displayFolder="" count="0" hidden="1"/>
    <cacheHierarchy uniqueName="[Measures].[Count of player_count]" caption="Count of player_count" measure="1" displayFolder="" measureGroup="steam_app_database" count="0" hidden="1">
      <extLst>
        <ext xmlns:x15="http://schemas.microsoft.com/office/spreadsheetml/2010/11/main" uri="{B97F6D7D-B522-45F9-BDA1-12C45D357490}">
          <x15:cacheHierarchy aggregatedColumn="17"/>
        </ext>
      </extLst>
    </cacheHierarchy>
    <cacheHierarchy uniqueName="[Measures].[Count of name]" caption="Count of name" measure="1" displayFolder="" measureGroup="steam_app_database" count="0" hidden="1">
      <extLst>
        <ext xmlns:x15="http://schemas.microsoft.com/office/spreadsheetml/2010/11/main" uri="{B97F6D7D-B522-45F9-BDA1-12C45D357490}">
          <x15:cacheHierarchy aggregatedColumn="9"/>
        </ext>
      </extLst>
    </cacheHierarchy>
    <cacheHierarchy uniqueName="[Measures].[Sum of player_count]" caption="Sum of player_count" measure="1" displayFolder="" measureGroup="steam_app_database" count="0" hidden="1">
      <extLst>
        <ext xmlns:x15="http://schemas.microsoft.com/office/spreadsheetml/2010/11/main" uri="{B97F6D7D-B522-45F9-BDA1-12C45D357490}">
          <x15:cacheHierarchy aggregatedColumn="17"/>
        </ext>
      </extLst>
    </cacheHierarchy>
    <cacheHierarchy uniqueName="[Measures].[Sum of Year]" caption="Sum of Year" measure="1" displayFolder="" measureGroup="release_calendar" count="0" hidden="1">
      <extLst>
        <ext xmlns:x15="http://schemas.microsoft.com/office/spreadsheetml/2010/11/main" uri="{B97F6D7D-B522-45F9-BDA1-12C45D357490}">
          <x15:cacheHierarchy aggregatedColumn="2"/>
        </ext>
      </extLst>
    </cacheHierarchy>
    <cacheHierarchy uniqueName="[Measures].[Count of appid]" caption="Count of appid" measure="1" displayFolder="" measureGroup="steam_app_database" count="0" hidden="1">
      <extLst>
        <ext xmlns:x15="http://schemas.microsoft.com/office/spreadsheetml/2010/11/main" uri="{B97F6D7D-B522-45F9-BDA1-12C45D357490}">
          <x15:cacheHierarchy aggregatedColumn="8"/>
        </ext>
      </extLst>
    </cacheHierarchy>
    <cacheHierarchy uniqueName="[Measures].[Sum of price_usd]" caption="Sum of price_usd" measure="1" displayFolder="" measureGroup="steam_app_database" count="0" hidden="1">
      <extLst>
        <ext xmlns:x15="http://schemas.microsoft.com/office/spreadsheetml/2010/11/main" uri="{B97F6D7D-B522-45F9-BDA1-12C45D357490}">
          <x15:cacheHierarchy aggregatedColumn="12"/>
        </ext>
      </extLst>
    </cacheHierarchy>
    <cacheHierarchy uniqueName="[Measures].[Average of price_usd]" caption="Average of price_usd" measure="1" displayFolder="" measureGroup="steam_app_database" count="0" hidden="1">
      <extLst>
        <ext xmlns:x15="http://schemas.microsoft.com/office/spreadsheetml/2010/11/main" uri="{B97F6D7D-B522-45F9-BDA1-12C45D357490}">
          <x15:cacheHierarchy aggregatedColumn="12"/>
        </ext>
      </extLst>
    </cacheHierarchy>
    <cacheHierarchy uniqueName="[Measures].[Sum of review_score]" caption="Sum of review_score" measure="1" displayFolder="" measureGroup="steam_app_database" count="0" hidden="1">
      <extLst>
        <ext xmlns:x15="http://schemas.microsoft.com/office/spreadsheetml/2010/11/main" uri="{B97F6D7D-B522-45F9-BDA1-12C45D357490}">
          <x15:cacheHierarchy aggregatedColumn="18"/>
        </ext>
      </extLst>
    </cacheHierarchy>
    <cacheHierarchy uniqueName="[Measures].[Sum of total_positive]" caption="Sum of total_positive" measure="1" displayFolder="" measureGroup="steam_app_database" count="0" hidden="1">
      <extLst>
        <ext xmlns:x15="http://schemas.microsoft.com/office/spreadsheetml/2010/11/main" uri="{B97F6D7D-B522-45F9-BDA1-12C45D357490}">
          <x15:cacheHierarchy aggregatedColumn="20"/>
        </ext>
      </extLst>
    </cacheHierarchy>
    <cacheHierarchy uniqueName="[Measures].[Sum of total_reviews]" caption="Sum of total_reviews" measure="1" displayFolder="" measureGroup="steam_app_database" count="0" hidden="1">
      <extLst>
        <ext xmlns:x15="http://schemas.microsoft.com/office/spreadsheetml/2010/11/main" uri="{B97F6D7D-B522-45F9-BDA1-12C45D357490}">
          <x15:cacheHierarchy aggregatedColumn="22"/>
        </ext>
      </extLst>
    </cacheHierarchy>
    <cacheHierarchy uniqueName="[Measures].[Sum of total_negative]" caption="Sum of total_negative" measure="1" displayFolder="" measureGroup="steam_app_database" count="0" hidden="1">
      <extLst>
        <ext xmlns:x15="http://schemas.microsoft.com/office/spreadsheetml/2010/11/main" uri="{B97F6D7D-B522-45F9-BDA1-12C45D357490}">
          <x15:cacheHierarchy aggregatedColumn="21"/>
        </ext>
      </extLst>
    </cacheHierarchy>
    <cacheHierarchy uniqueName="[Measures].[Average of player_count]" caption="Average of player_count" measure="1" displayFolder="" measureGroup="steam_app_database" count="0" hidden="1">
      <extLst>
        <ext xmlns:x15="http://schemas.microsoft.com/office/spreadsheetml/2010/11/main" uri="{B97F6D7D-B522-45F9-BDA1-12C45D357490}">
          <x15:cacheHierarchy aggregatedColumn="17"/>
        </ext>
      </extLst>
    </cacheHierarchy>
    <cacheHierarchy uniqueName="[Measures].[Count of genre]" caption="Count of genre" measure="1" displayFolder="" measureGroup="steam_app_database" count="0" hidden="1">
      <extLst>
        <ext xmlns:x15="http://schemas.microsoft.com/office/spreadsheetml/2010/11/main" uri="{B97F6D7D-B522-45F9-BDA1-12C45D357490}">
          <x15:cacheHierarchy aggregatedColumn="13"/>
        </ext>
      </extLst>
    </cacheHierarchy>
    <cacheHierarchy uniqueName="[Measures].[Count of free_or_paid]" caption="Count of free_or_paid" measure="1" displayFolder="" measureGroup="steam_app_database" count="0" hidden="1">
      <extLst>
        <ext xmlns:x15="http://schemas.microsoft.com/office/spreadsheetml/2010/11/main" uri="{B97F6D7D-B522-45F9-BDA1-12C45D357490}">
          <x15:cacheHierarchy aggregatedColumn="23"/>
        </ext>
      </extLst>
    </cacheHierarchy>
  </cacheHierarchies>
  <kpis count="0"/>
  <extLst>
    <ext xmlns:x14="http://schemas.microsoft.com/office/spreadsheetml/2009/9/main" uri="{725AE2AE-9491-48be-B2B4-4EB974FC3084}">
      <x14:pivotCacheDefinition pivotCacheId="168175081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1125D4A-F037-47CF-89F7-52839CF2DE7A}" name="PivotTable1" cacheId="252" applyNumberFormats="0" applyBorderFormats="0" applyFontFormats="0" applyPatternFormats="0" applyAlignmentFormats="0" applyWidthHeightFormats="1" dataCaption="Values" updatedVersion="8" minRefreshableVersion="5" useAutoFormatting="1" subtotalHiddenItems="1" rowGrandTotals="0" colGrandTotals="0" itemPrintTitles="1" createdVersion="8" indent="0" outline="1" outlineData="1" multipleFieldFilters="0" chartFormat="5" rowHeaderCaption="Game Name">
  <location ref="A1:C11" firstHeaderRow="0"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0">
    <i>
      <x v="2"/>
    </i>
    <i>
      <x v="7"/>
    </i>
    <i>
      <x v="5"/>
    </i>
    <i>
      <x v="9"/>
    </i>
    <i>
      <x v="8"/>
    </i>
    <i>
      <x v="6"/>
    </i>
    <i>
      <x/>
    </i>
    <i>
      <x v="3"/>
    </i>
    <i>
      <x v="4"/>
    </i>
    <i>
      <x v="1"/>
    </i>
  </rowItems>
  <colFields count="1">
    <field x="-2"/>
  </colFields>
  <colItems count="2">
    <i>
      <x/>
    </i>
    <i i="1">
      <x v="1"/>
    </i>
  </colItems>
  <dataFields count="2">
    <dataField name="Player Count" fld="1" baseField="0" baseItem="0" numFmtId="164"/>
    <dataField fld="2" subtotal="count" baseField="0" baseItem="0"/>
  </dataFields>
  <formats count="1">
    <format dxfId="24">
      <pivotArea outline="0" collapsedLevelsAreSubtotals="1" fieldPosition="0">
        <references count="1">
          <reference field="4294967294" count="1" selected="0">
            <x v="0"/>
          </reference>
        </references>
      </pivotArea>
    </format>
  </formats>
  <pivotHierarchies count="46">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team_app_database].[genre].&amp;[Strateg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Player Count"/>
    <pivotHierarchy dragToData="1"/>
    <pivotHierarchy dragToData="1"/>
    <pivotHierarchy dragToData="1" caption="Game Price ($US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48" iMeasureHier="34">
      <autoFilter ref="A1">
        <filterColumn colId="0">
          <top10 val="10" filterVal="10"/>
        </filterColumn>
      </autoFilter>
    </filter>
  </filters>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eam_app_database]"/>
        <x15:activeTabTopLevelEntity name="[release_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9AD3064-9412-4BEA-A973-833D67C400A5}" name="PivotTable6" cacheId="91" applyNumberFormats="0" applyBorderFormats="0" applyFontFormats="0" applyPatternFormats="0" applyAlignmentFormats="0" applyWidthHeightFormats="1" dataCaption="Values" tag="e989b51c-871f-4664-9d3f-59caa3f4bb45" updatedVersion="8" minRefreshableVersion="3" useAutoFormatting="1" subtotalHiddenItems="1" rowGrandTotals="0" colGrandTotals="0" itemPrintTitles="1" createdVersion="8" indent="0" outline="1" outlineData="1" multipleFieldFilters="0" rowHeaderCaption="Game Name">
  <location ref="A1:B26" firstHeaderRow="1" firstDataRow="1" firstDataCol="1"/>
  <pivotFields count="2">
    <pivotField axis="axisRow" allDrilled="1" subtotalTop="0" showAll="0" measureFilter="1" sortType="ascending" defaultSubtotal="0" defaultAttributeDrillState="1">
      <items count="25">
        <item x="0"/>
        <item x="1"/>
        <item x="2"/>
        <item x="3"/>
        <item x="4"/>
        <item x="5"/>
        <item x="6"/>
        <item x="7"/>
        <item x="8"/>
        <item x="9"/>
        <item x="10"/>
        <item x="11"/>
        <item x="12"/>
        <item x="13"/>
        <item x="14"/>
        <item x="15"/>
        <item x="16"/>
        <item x="17"/>
        <item x="18"/>
        <item x="19"/>
        <item x="20"/>
        <item x="21"/>
        <item x="22"/>
        <item x="23"/>
        <item x="2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25">
    <i>
      <x v="1"/>
    </i>
    <i>
      <x v="5"/>
    </i>
    <i>
      <x v="23"/>
    </i>
    <i>
      <x v="21"/>
    </i>
    <i>
      <x v="16"/>
    </i>
    <i>
      <x v="19"/>
    </i>
    <i>
      <x v="17"/>
    </i>
    <i>
      <x v="9"/>
    </i>
    <i>
      <x v="24"/>
    </i>
    <i>
      <x v="22"/>
    </i>
    <i>
      <x v="4"/>
    </i>
    <i>
      <x v="10"/>
    </i>
    <i>
      <x/>
    </i>
    <i>
      <x v="12"/>
    </i>
    <i>
      <x v="11"/>
    </i>
    <i>
      <x v="20"/>
    </i>
    <i>
      <x v="7"/>
    </i>
    <i>
      <x v="15"/>
    </i>
    <i>
      <x v="2"/>
    </i>
    <i>
      <x v="8"/>
    </i>
    <i>
      <x v="18"/>
    </i>
    <i>
      <x v="14"/>
    </i>
    <i>
      <x v="13"/>
    </i>
    <i>
      <x v="6"/>
    </i>
    <i>
      <x v="3"/>
    </i>
  </rowItems>
  <colItems count="1">
    <i/>
  </colItems>
  <dataFields count="1">
    <dataField name="Player Count" fld="1" baseField="0" baseItem="0" numFmtId="164"/>
  </dataFields>
  <formats count="3">
    <format dxfId="23">
      <pivotArea outline="0" collapsedLevelsAreSubtotals="1" fieldPosition="0"/>
    </format>
    <format dxfId="22">
      <pivotArea outline="0" collapsedLevelsAreSubtotals="1" fieldPosition="0"/>
    </format>
    <format dxfId="21">
      <pivotArea dataOnly="0" labelOnly="1" fieldPosition="0">
        <references count="1">
          <reference field="0" count="0"/>
        </references>
      </pivotArea>
    </format>
  </formats>
  <pivotHierarchies count="45">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Player C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4">
      <autoFilter ref="A1">
        <filterColumn colId="0">
          <top10 val="25" filterVal="25"/>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eam_app_databas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6D5E452-C813-4541-A783-11ADDE98C6D4}" name="PivotTable3" cacheId="95" applyNumberFormats="0" applyBorderFormats="0" applyFontFormats="0" applyPatternFormats="0" applyAlignmentFormats="0" applyWidthHeightFormats="1" dataCaption="Values" tag="e5ea9ba8-ae05-476c-b362-395a2c3455f9" updatedVersion="8" minRefreshableVersion="3" useAutoFormatting="1" subtotalHiddenItems="1" rowGrandTotals="0" colGrandTotals="0" itemPrintTitles="1" createdVersion="8" indent="0" outline="1" outlineData="1" multipleFieldFilters="0" chartFormat="12">
  <location ref="A19:B21"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2">
    <i>
      <x/>
    </i>
    <i>
      <x v="1"/>
    </i>
  </rowItems>
  <colItems count="1">
    <i/>
  </colItems>
  <dataFields count="1">
    <dataField name="Sum of player_count" fld="1" showDataAs="percentOfTotal" baseField="0" baseItem="0" numFmtId="10"/>
  </dataFields>
  <formats count="6">
    <format dxfId="16">
      <pivotArea outline="0" collapsedLevelsAreSubtotals="1" fieldPosition="0">
        <references count="1">
          <reference field="4294967294" count="1" selected="0">
            <x v="0"/>
          </reference>
        </references>
      </pivotArea>
    </format>
    <format dxfId="15">
      <pivotArea outline="0" fieldPosition="0">
        <references count="1">
          <reference field="4294967294" count="1">
            <x v="0"/>
          </reference>
        </references>
      </pivotArea>
    </format>
    <format dxfId="14">
      <pivotArea outline="0" collapsedLevelsAreSubtotals="1" fieldPosition="0"/>
    </format>
    <format dxfId="13">
      <pivotArea dataOnly="0" labelOnly="1" fieldPosition="0">
        <references count="1">
          <reference field="0" count="0"/>
        </references>
      </pivotArea>
    </format>
    <format dxfId="12">
      <pivotArea outline="0" collapsedLevelsAreSubtotals="1" fieldPosition="0"/>
    </format>
    <format dxfId="11">
      <pivotArea dataOnly="0" labelOnly="1" fieldPosition="0">
        <references count="1">
          <reference field="0" count="0"/>
        </references>
      </pivotArea>
    </format>
  </formats>
  <chartFormats count="3">
    <chartFormat chart="5" format="11" series="1">
      <pivotArea type="data" outline="0" fieldPosition="0">
        <references count="1">
          <reference field="4294967294" count="1" selected="0">
            <x v="0"/>
          </reference>
        </references>
      </pivotArea>
    </chartFormat>
    <chartFormat chart="5" format="12">
      <pivotArea type="data" outline="0" fieldPosition="0">
        <references count="2">
          <reference field="4294967294" count="1" selected="0">
            <x v="0"/>
          </reference>
          <reference field="0" count="1" selected="0">
            <x v="0"/>
          </reference>
        </references>
      </pivotArea>
    </chartFormat>
    <chartFormat chart="5" format="13">
      <pivotArea type="data" outline="0" fieldPosition="0">
        <references count="2">
          <reference field="4294967294" count="1" selected="0">
            <x v="0"/>
          </reference>
          <reference field="0" count="1" selected="0">
            <x v="1"/>
          </reference>
        </references>
      </pivotArea>
    </chartFormat>
  </chartFormats>
  <pivotHierarchies count="45">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eam_app_databas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E40A695-BE0B-4A45-9348-670AC8964221}" name="PivotTable5" cacheId="96" applyNumberFormats="0" applyBorderFormats="0" applyFontFormats="0" applyPatternFormats="0" applyAlignmentFormats="0" applyWidthHeightFormats="1" dataCaption="Values" tag="3cc57dc0-8223-4888-b8f7-f12b3d6a94ad" updatedVersion="8" minRefreshableVersion="3" useAutoFormatting="1" subtotalHiddenItems="1" rowGrandTotals="0" colGrandTotals="0" itemPrintTitles="1" createdVersion="8" indent="0" outline="1" outlineData="1" multipleFieldFilters="0" chartFormat="11" rowHeaderCaption="Game Name">
  <location ref="A1:B16" firstHeaderRow="1" firstDataRow="1" firstDataCol="1"/>
  <pivotFields count="4">
    <pivotField axis="axisRow" allDrilled="1" subtotalTop="0" showAll="0" measureFilter="1" sortType="a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5">
    <i>
      <x v="9"/>
    </i>
    <i>
      <x v="1"/>
    </i>
    <i>
      <x/>
    </i>
    <i>
      <x v="11"/>
    </i>
    <i>
      <x v="12"/>
    </i>
    <i>
      <x v="5"/>
    </i>
    <i>
      <x v="14"/>
    </i>
    <i>
      <x v="2"/>
    </i>
    <i>
      <x v="6"/>
    </i>
    <i>
      <x v="7"/>
    </i>
    <i>
      <x v="13"/>
    </i>
    <i>
      <x v="3"/>
    </i>
    <i>
      <x v="10"/>
    </i>
    <i>
      <x v="4"/>
    </i>
    <i>
      <x v="8"/>
    </i>
  </rowItems>
  <colItems count="1">
    <i/>
  </colItems>
  <dataFields count="1">
    <dataField fld="1" subtotal="count" baseField="0" baseItem="0"/>
  </dataFields>
  <formats count="4">
    <format dxfId="20">
      <pivotArea outline="0" collapsedLevelsAreSubtotals="1" fieldPosition="0"/>
    </format>
    <format dxfId="19">
      <pivotArea dataOnly="0" labelOnly="1" outline="0" axis="axisValues" fieldPosition="0"/>
    </format>
    <format dxfId="18">
      <pivotArea outline="0" collapsedLevelsAreSubtotals="1" fieldPosition="0"/>
    </format>
    <format dxfId="17">
      <pivotArea dataOnly="0" labelOnly="1" fieldPosition="0">
        <references count="1">
          <reference field="0" count="0"/>
        </references>
      </pivotArea>
    </format>
  </formats>
  <pivotHierarchies count="45">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team_app_database].[is_free].&amp;[Tru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team_app_database].[free_or_paid].&amp;[Paid Purchase]"/>
      </members>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Player C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24">
      <autoFilter ref="A1">
        <filterColumn colId="0">
          <top10 val="15" filterVal="15"/>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eam_app_databas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763D67B-1894-4F3C-9211-D16B332AFA6F}" name="PivotTable7" cacheId="97" applyNumberFormats="0" applyBorderFormats="0" applyFontFormats="0" applyPatternFormats="0" applyAlignmentFormats="0" applyWidthHeightFormats="1" dataCaption="Values" tag="322d8209-91fb-47fb-bc79-bd7c3167a15f" updatedVersion="8" minRefreshableVersion="5" useAutoFormatting="1" subtotalHiddenItems="1" rowGrandTotals="0" colGrandTotals="0" itemPrintTitles="1" createdVersion="8" indent="0" outline="1" outlineData="1" multipleFieldFilters="0" chartFormat="13" rowHeaderCaption="Game Name">
  <location ref="A1:B11" firstHeaderRow="1" firstDataRow="1" firstDataCol="1"/>
  <pivotFields count="2">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0">
    <i>
      <x v="3"/>
    </i>
    <i>
      <x v="6"/>
    </i>
    <i>
      <x v="9"/>
    </i>
    <i>
      <x v="2"/>
    </i>
    <i>
      <x/>
    </i>
    <i>
      <x v="7"/>
    </i>
    <i>
      <x v="1"/>
    </i>
    <i>
      <x v="8"/>
    </i>
    <i>
      <x v="5"/>
    </i>
    <i>
      <x v="4"/>
    </i>
  </rowItems>
  <colItems count="1">
    <i/>
  </colItems>
  <dataFields count="1">
    <dataField name="Player Count" fld="1" baseField="0" baseItem="0" numFmtId="164"/>
  </dataFields>
  <formats count="3">
    <format dxfId="10">
      <pivotArea outline="0" collapsedLevelsAreSubtotals="1" fieldPosition="0"/>
    </format>
    <format dxfId="9">
      <pivotArea outline="0" collapsedLevelsAreSubtotals="1" fieldPosition="0"/>
    </format>
    <format dxfId="8">
      <pivotArea dataOnly="0" labelOnly="1" fieldPosition="0">
        <references count="1">
          <reference field="0" count="0"/>
        </references>
      </pivotArea>
    </format>
  </formats>
  <chartFormats count="1">
    <chartFormat chart="0" format="0" series="1">
      <pivotArea type="data" outline="0" fieldPosition="0">
        <references count="1">
          <reference field="4294967294" count="1" selected="0">
            <x v="0"/>
          </reference>
        </references>
      </pivotArea>
    </chartFormat>
  </chartFormats>
  <pivotHierarchies count="45">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Player C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2" iMeasureHier="34">
      <autoFilter ref="A1">
        <filterColumn colId="0">
          <top10 val="10" filterVal="10"/>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eam_app_database]"/>
        <x15:activeTabTopLevelEntity name="[release_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88B3954-77D4-4FB3-B791-1A67FB7C1157}" name="PivotTable6" cacheId="98" applyNumberFormats="0" applyBorderFormats="0" applyFontFormats="0" applyPatternFormats="0" applyAlignmentFormats="0" applyWidthHeightFormats="1" dataCaption="Values" tag="5987ec08-e5af-40eb-a3ae-6597f6e3201e" updatedVersion="8" minRefreshableVersion="3" useAutoFormatting="1" subtotalHiddenItems="1" rowGrandTotals="0" colGrandTotals="0" itemPrintTitles="1" createdVersion="8" indent="0" outline="1" outlineData="1" multipleFieldFilters="0" chartFormat="13">
  <location ref="A1:C25" firstHeaderRow="0" firstDataRow="1" firstDataCol="1"/>
  <pivotFields count="3">
    <pivotField axis="axisRow" allDrilled="1" subtotalTop="0" showAll="0" defaultSubtotal="0" defaultAttributeDrillState="1">
      <items count="24">
        <item s="1" x="0"/>
        <item s="1" x="1"/>
        <item s="1" x="2"/>
        <item s="1" x="3"/>
        <item s="1" x="4"/>
        <item s="1" x="5"/>
        <item s="1" x="6"/>
        <item s="1" x="7"/>
        <item s="1" x="8"/>
        <item s="1" x="9"/>
        <item s="1" x="10"/>
        <item s="1" x="11"/>
        <item s="1" x="12"/>
        <item s="1" x="13"/>
        <item s="1" x="14"/>
        <item s="1" x="15"/>
        <item s="1" x="16"/>
        <item s="1" x="17"/>
        <item s="1" x="18"/>
        <item s="1" x="19"/>
        <item s="1" x="20"/>
        <item s="1" x="21"/>
        <item s="1" x="22"/>
        <item s="1" x="23"/>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24">
    <i>
      <x/>
    </i>
    <i>
      <x v="1"/>
    </i>
    <i>
      <x v="2"/>
    </i>
    <i>
      <x v="3"/>
    </i>
    <i>
      <x v="4"/>
    </i>
    <i>
      <x v="5"/>
    </i>
    <i>
      <x v="6"/>
    </i>
    <i>
      <x v="7"/>
    </i>
    <i>
      <x v="8"/>
    </i>
    <i>
      <x v="9"/>
    </i>
    <i>
      <x v="10"/>
    </i>
    <i>
      <x v="11"/>
    </i>
    <i>
      <x v="12"/>
    </i>
    <i>
      <x v="13"/>
    </i>
    <i>
      <x v="14"/>
    </i>
    <i>
      <x v="15"/>
    </i>
    <i>
      <x v="16"/>
    </i>
    <i>
      <x v="17"/>
    </i>
    <i>
      <x v="18"/>
    </i>
    <i>
      <x v="19"/>
    </i>
    <i>
      <x v="20"/>
    </i>
    <i>
      <x v="21"/>
    </i>
    <i>
      <x v="22"/>
    </i>
    <i>
      <x v="23"/>
    </i>
  </rowItems>
  <colFields count="1">
    <field x="-2"/>
  </colFields>
  <colItems count="2">
    <i>
      <x/>
    </i>
    <i i="1">
      <x v="1"/>
    </i>
  </colItems>
  <dataFields count="2">
    <dataField fld="1" subtotal="count" baseField="0" baseItem="0"/>
    <dataField name="Player Count Percent Change" fld="2" subtotal="count" showDataAs="percentDiff" baseField="0" baseItem="1048828" numFmtId="10">
      <extLst>
        <ext xmlns:x14="http://schemas.microsoft.com/office/spreadsheetml/2009/9/main" uri="{E15A36E0-9728-4e99-A89B-3F7291B0FE68}">
          <x14:dataField sourceField="1" uniqueName="[__Xl2].[Measures].[Player Count]"/>
        </ext>
      </extLst>
    </dataField>
  </dataFields>
  <formats count="2">
    <format dxfId="7">
      <pivotArea outline="0" collapsedLevelsAreSubtotals="1" fieldPosition="0"/>
    </format>
    <format dxfId="6">
      <pivotArea dataOnly="0" labelOnly="1" fieldPosition="0">
        <references count="1">
          <reference field="0" count="0"/>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47">
    <pivotHierarchy dragToData="1"/>
    <pivotHierarchy/>
    <pivotHierarchy dragToData="1">
      <members count="28" level="1">
        <member name=""/>
        <member name="[release_calendar].[Year].&amp;[1999]"/>
        <member name=""/>
        <member name="[release_calendar].[Year].&amp;[2001]"/>
        <member name="[release_calendar].[Year].&amp;[2002]"/>
        <member name="[release_calendar].[Year].&amp;[2003]"/>
        <member name=""/>
        <member name=""/>
        <member name=""/>
        <member name=""/>
        <member name=""/>
        <member name=""/>
        <member name=""/>
        <member name=""/>
        <member name=""/>
        <member name=""/>
        <member name=""/>
        <member name=""/>
        <member name=""/>
        <member name=""/>
        <member name=""/>
        <member name=""/>
        <member name=""/>
        <member name=""/>
        <member name=""/>
        <member name=""/>
        <member name=""/>
        <member nam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lease_calendar]"/>
        <x15:activeTabTopLevelEntity name="[steam_app_databas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9F6CB3D-E451-4D49-A9CF-80029A4CFE8D}" name="PivotTable8" cacheId="92" applyNumberFormats="0" applyBorderFormats="0" applyFontFormats="0" applyPatternFormats="0" applyAlignmentFormats="0" applyWidthHeightFormats="1" dataCaption="Values" tag="b378f1c9-399c-447e-b887-e6a7d8444852" updatedVersion="8" minRefreshableVersion="3" useAutoFormatting="1" subtotalHiddenItems="1" rowGrandTotals="0" colGrandTotals="0" itemPrintTitles="1" createdVersion="8" indent="0" outline="1" outlineData="1" multipleFieldFilters="0" chartFormat="18" rowHeaderCaption="Release Year">
  <location ref="A1:C26" firstHeaderRow="0" firstDataRow="1" firstDataCol="1"/>
  <pivotFields count="5">
    <pivotField axis="axisRow" allDrilled="1" subtotalTop="0" showAll="0" dataSourceSort="1" defaultSubtotal="0">
      <items count="26">
        <item s="1" c="1" x="0"/>
        <item s="1" c="1" x="1"/>
        <item s="1" c="1" x="2"/>
        <item s="1" c="1" x="3"/>
        <item s="1" c="1" x="4"/>
        <item s="1" c="1" x="5"/>
        <item s="1" c="1" x="6"/>
        <item s="1" c="1" x="7"/>
        <item s="1" c="1" x="8"/>
        <item s="1" c="1" x="9"/>
        <item s="1" c="1" x="10"/>
        <item s="1" c="1" x="11"/>
        <item s="1" c="1" x="12"/>
        <item s="1" c="1" x="13"/>
        <item s="1" c="1" x="14"/>
        <item s="1" c="1" x="15"/>
        <item s="1" c="1" x="16"/>
        <item s="1" c="1" x="17"/>
        <item s="1" c="1" x="18"/>
        <item s="1" c="1" x="19"/>
        <item s="1" c="1" x="20"/>
        <item s="1" c="1" x="21"/>
        <item s="1" c="1" x="22"/>
        <item s="1" c="1" x="23"/>
        <item s="1" c="1" x="24"/>
        <item x="25"/>
      </items>
    </pivotField>
    <pivotField axis="axisRow" subtotalTop="0" showAll="0" dataSourceSort="1" defaultSubtotal="0"/>
    <pivotField axis="axisRow" subtotalTop="0" showAll="0" dataSourceSort="1" defaultSubtotal="0"/>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25">
    <i>
      <x/>
    </i>
    <i>
      <x v="1"/>
    </i>
    <i>
      <x v="2"/>
    </i>
    <i>
      <x v="3"/>
    </i>
    <i>
      <x v="4"/>
    </i>
    <i>
      <x v="5"/>
    </i>
    <i>
      <x v="6"/>
    </i>
    <i>
      <x v="7"/>
    </i>
    <i>
      <x v="8"/>
    </i>
    <i>
      <x v="9"/>
    </i>
    <i>
      <x v="10"/>
    </i>
    <i>
      <x v="11"/>
    </i>
    <i>
      <x v="12"/>
    </i>
    <i>
      <x v="13"/>
    </i>
    <i>
      <x v="14"/>
    </i>
    <i>
      <x v="15"/>
    </i>
    <i>
      <x v="16"/>
    </i>
    <i>
      <x v="17"/>
    </i>
    <i>
      <x v="18"/>
    </i>
    <i>
      <x v="19"/>
    </i>
    <i>
      <x v="20"/>
    </i>
    <i>
      <x v="21"/>
    </i>
    <i>
      <x v="22"/>
    </i>
    <i>
      <x v="23"/>
    </i>
    <i>
      <x v="24"/>
    </i>
  </rowItems>
  <colFields count="1">
    <field x="-2"/>
  </colFields>
  <colItems count="2">
    <i>
      <x/>
    </i>
    <i i="1">
      <x v="1"/>
    </i>
  </colItems>
  <dataFields count="2">
    <dataField fld="3" subtotal="count" baseField="0" baseItem="0"/>
    <dataField name="Percent Change" fld="4" subtotal="count" showDataAs="percentDiff" baseField="0" baseItem="1048828" numFmtId="10">
      <extLst>
        <ext xmlns:x14="http://schemas.microsoft.com/office/spreadsheetml/2009/9/main" uri="{E15A36E0-9728-4e99-A89B-3F7291B0FE68}">
          <x14:dataField sourceField="3" uniqueName="[__Xl2].[Measures].[Average Game Price]"/>
        </ext>
      </extLst>
    </dataField>
  </dataFields>
  <formats count="3">
    <format dxfId="5">
      <pivotArea collapsedLevelsAreSubtotals="1" fieldPosition="0">
        <references count="2">
          <reference field="4294967294" count="1" selected="0">
            <x v="1"/>
          </reference>
          <reference field="0" count="25">
            <x v="1"/>
            <x v="2"/>
            <x v="3"/>
            <x v="4"/>
            <x v="5"/>
            <x v="6"/>
            <x v="7"/>
            <x v="8"/>
            <x v="9"/>
            <x v="10"/>
            <x v="11"/>
            <x v="12"/>
            <x v="13"/>
            <x v="14"/>
            <x v="15"/>
            <x v="16"/>
            <x v="17"/>
            <x v="18"/>
            <x v="19"/>
            <x v="20"/>
            <x v="21"/>
            <x v="22"/>
            <x v="23"/>
            <x v="24"/>
            <x v="25"/>
          </reference>
        </references>
      </pivotArea>
    </format>
    <format dxfId="4">
      <pivotArea outline="0" collapsedLevelsAreSubtotals="1" fieldPosition="0"/>
    </format>
    <format dxfId="3">
      <pivotArea dataOnly="0" labelOnly="1" fieldPosition="0">
        <references count="1">
          <reference field="0" count="25">
            <x v="0"/>
            <x v="1"/>
            <x v="2"/>
            <x v="3"/>
            <x v="4"/>
            <x v="5"/>
            <x v="6"/>
            <x v="7"/>
            <x v="8"/>
            <x v="9"/>
            <x v="10"/>
            <x v="11"/>
            <x v="12"/>
            <x v="13"/>
            <x v="14"/>
            <x v="15"/>
            <x v="16"/>
            <x v="17"/>
            <x v="18"/>
            <x v="19"/>
            <x v="20"/>
            <x v="21"/>
            <x v="22"/>
            <x v="23"/>
            <x v="24"/>
          </reference>
        </references>
      </pivotArea>
    </format>
  </formats>
  <chartFormats count="2">
    <chartFormat chart="0" format="19" series="1">
      <pivotArea type="data" outline="0" fieldPosition="0">
        <references count="1">
          <reference field="4294967294" count="1" selected="0">
            <x v="0"/>
          </reference>
        </references>
      </pivotArea>
    </chartFormat>
    <chartFormat chart="0" format="20" series="1">
      <pivotArea type="data" outline="0" fieldPosition="0">
        <references count="1">
          <reference field="4294967294" count="1" selected="0">
            <x v="1"/>
          </reference>
        </references>
      </pivotArea>
    </chartFormat>
  </chartFormats>
  <pivotHierarchies count="46">
    <pivotHierarchy dragToData="1"/>
    <pivotHierarchy>
      <members count="29" level="1">
        <member name=""/>
        <member name="[release_calendar].[Date Hierarchy].[Year].&amp;[1999]"/>
        <member name=""/>
        <member name="[release_calendar].[Date Hierarchy].[Year].&amp;[2001]"/>
        <member name="[release_calendar].[Date Hierarchy].[Year].&amp;[2002]"/>
        <member name="[release_calendar].[Date Hierarchy].[Year].&amp;[2003]"/>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Game Count"/>
    <pivotHierarchy dragToData="1"/>
    <pivotHierarchy dragToData="1" caption="Average Game Price"/>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lease_calendar]"/>
        <x15:activeTabTopLevelEntity name="[steam_app_databas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385AA0B-0E76-443F-A69A-0DDCFF6900F2}" name="PivotTable10" cacheId="94" applyNumberFormats="0" applyBorderFormats="0" applyFontFormats="0" applyPatternFormats="0" applyAlignmentFormats="0" applyWidthHeightFormats="1" dataCaption="Values" tag="19e290cf-7f55-4c63-98f2-325ca6ffb463" updatedVersion="8" minRefreshableVersion="5" useAutoFormatting="1" subtotalHiddenItems="1" rowGrandTotals="0" colGrandTotals="0" itemPrintTitles="1" createdVersion="8" indent="0" outline="1" outlineData="1" multipleFieldFilters="0" chartFormat="22">
  <location ref="A1:C26" firstHeaderRow="0" firstDataRow="1" firstDataCol="1"/>
  <pivotFields count="4">
    <pivotField axis="axisRow" allDrilled="1" subtotalTop="0" showAll="0" measureFilter="1" sortType="ascending" defaultSubtotal="0" defaultAttributeDrillState="1">
      <items count="9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25">
    <i>
      <x v="4"/>
    </i>
    <i>
      <x v="17"/>
    </i>
    <i>
      <x v="24"/>
    </i>
    <i>
      <x v="1"/>
    </i>
    <i>
      <x v="7"/>
    </i>
    <i>
      <x v="8"/>
    </i>
    <i>
      <x v="2"/>
    </i>
    <i>
      <x v="13"/>
    </i>
    <i>
      <x v="23"/>
    </i>
    <i>
      <x v="12"/>
    </i>
    <i>
      <x v="19"/>
    </i>
    <i>
      <x v="5"/>
    </i>
    <i>
      <x v="9"/>
    </i>
    <i>
      <x v="6"/>
    </i>
    <i>
      <x v="21"/>
    </i>
    <i>
      <x v="18"/>
    </i>
    <i>
      <x/>
    </i>
    <i>
      <x v="10"/>
    </i>
    <i>
      <x v="16"/>
    </i>
    <i>
      <x v="3"/>
    </i>
    <i>
      <x v="11"/>
    </i>
    <i>
      <x v="15"/>
    </i>
    <i>
      <x v="14"/>
    </i>
    <i>
      <x v="22"/>
    </i>
    <i>
      <x v="20"/>
    </i>
  </rowItems>
  <colFields count="1">
    <field x="-2"/>
  </colFields>
  <colItems count="2">
    <i>
      <x/>
    </i>
    <i i="1">
      <x v="1"/>
    </i>
  </colItems>
  <dataFields count="2">
    <dataField fld="1" subtotal="count" baseField="0" baseItem="0"/>
    <dataField fld="2" subtotal="count" baseField="0" baseItem="0"/>
  </dataFields>
  <formats count="5">
    <format dxfId="44">
      <pivotArea collapsedLevelsAreSubtotals="1" fieldPosition="0">
        <references count="1">
          <reference field="0" count="1">
            <x v="549"/>
          </reference>
        </references>
      </pivotArea>
    </format>
    <format dxfId="43">
      <pivotArea outline="0" collapsedLevelsAreSubtotals="1" fieldPosition="0"/>
    </format>
    <format dxfId="42">
      <pivotArea collapsedLevelsAreSubtotals="1" fieldPosition="0">
        <references count="2">
          <reference field="4294967294" count="1" selected="0">
            <x v="0"/>
          </reference>
          <reference field="0" count="997">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x v="749"/>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x v="793"/>
            <x v="794"/>
            <x v="795"/>
            <x v="796"/>
            <x v="797"/>
            <x v="798"/>
            <x v="799"/>
            <x v="800"/>
            <x v="801"/>
            <x v="802"/>
            <x v="803"/>
            <x v="804"/>
            <x v="805"/>
            <x v="806"/>
            <x v="807"/>
            <x v="808"/>
            <x v="809"/>
            <x v="810"/>
            <x v="811"/>
            <x v="812"/>
            <x v="813"/>
            <x v="814"/>
            <x v="815"/>
            <x v="816"/>
            <x v="817"/>
            <x v="818"/>
            <x v="819"/>
            <x v="820"/>
            <x v="821"/>
            <x v="822"/>
            <x v="823"/>
            <x v="824"/>
            <x v="825"/>
            <x v="826"/>
            <x v="827"/>
            <x v="828"/>
            <x v="829"/>
            <x v="830"/>
            <x v="831"/>
            <x v="832"/>
            <x v="833"/>
            <x v="834"/>
            <x v="835"/>
            <x v="836"/>
            <x v="837"/>
            <x v="838"/>
            <x v="839"/>
            <x v="840"/>
            <x v="841"/>
            <x v="842"/>
            <x v="843"/>
            <x v="844"/>
            <x v="845"/>
            <x v="846"/>
            <x v="847"/>
            <x v="848"/>
            <x v="849"/>
            <x v="850"/>
            <x v="851"/>
            <x v="852"/>
            <x v="853"/>
            <x v="854"/>
            <x v="855"/>
            <x v="856"/>
            <x v="857"/>
            <x v="858"/>
            <x v="859"/>
            <x v="860"/>
            <x v="861"/>
            <x v="862"/>
            <x v="863"/>
            <x v="864"/>
            <x v="865"/>
            <x v="866"/>
            <x v="867"/>
            <x v="868"/>
            <x v="869"/>
            <x v="870"/>
            <x v="871"/>
            <x v="872"/>
            <x v="873"/>
            <x v="874"/>
            <x v="875"/>
            <x v="876"/>
            <x v="877"/>
            <x v="878"/>
            <x v="879"/>
            <x v="880"/>
            <x v="881"/>
            <x v="882"/>
            <x v="883"/>
            <x v="884"/>
            <x v="885"/>
            <x v="886"/>
            <x v="887"/>
            <x v="888"/>
            <x v="889"/>
            <x v="890"/>
            <x v="891"/>
            <x v="892"/>
            <x v="893"/>
            <x v="894"/>
            <x v="895"/>
            <x v="896"/>
            <x v="897"/>
            <x v="898"/>
            <x v="899"/>
            <x v="900"/>
            <x v="901"/>
            <x v="902"/>
            <x v="903"/>
            <x v="904"/>
            <x v="905"/>
            <x v="906"/>
            <x v="907"/>
            <x v="908"/>
            <x v="909"/>
            <x v="910"/>
            <x v="911"/>
            <x v="912"/>
            <x v="913"/>
            <x v="914"/>
            <x v="915"/>
            <x v="916"/>
            <x v="917"/>
            <x v="918"/>
            <x v="919"/>
            <x v="920"/>
            <x v="921"/>
            <x v="922"/>
            <x v="923"/>
            <x v="924"/>
            <x v="925"/>
            <x v="926"/>
            <x v="927"/>
            <x v="928"/>
            <x v="929"/>
            <x v="930"/>
            <x v="931"/>
            <x v="932"/>
            <x v="933"/>
            <x v="934"/>
            <x v="935"/>
            <x v="936"/>
            <x v="937"/>
            <x v="938"/>
            <x v="939"/>
            <x v="940"/>
            <x v="941"/>
            <x v="942"/>
            <x v="943"/>
            <x v="944"/>
            <x v="945"/>
            <x v="946"/>
            <x v="947"/>
            <x v="948"/>
            <x v="949"/>
            <x v="950"/>
            <x v="951"/>
            <x v="952"/>
            <x v="953"/>
            <x v="954"/>
            <x v="955"/>
            <x v="956"/>
            <x v="957"/>
            <x v="958"/>
            <x v="959"/>
            <x v="960"/>
            <x v="961"/>
            <x v="962"/>
            <x v="963"/>
            <x v="964"/>
            <x v="965"/>
            <x v="966"/>
            <x v="967"/>
            <x v="968"/>
            <x v="969"/>
            <x v="970"/>
            <x v="971"/>
            <x v="972"/>
            <x v="973"/>
            <x v="974"/>
            <x v="975"/>
            <x v="976"/>
            <x v="977"/>
            <x v="978"/>
            <x v="979"/>
            <x v="980"/>
            <x v="981"/>
            <x v="982"/>
            <x v="983"/>
            <x v="984"/>
            <x v="985"/>
            <x v="986"/>
            <x v="987"/>
            <x v="988"/>
            <x v="989"/>
            <x v="990"/>
            <x v="991"/>
            <x v="992"/>
            <x v="993"/>
            <x v="994"/>
            <x v="995"/>
            <x v="996"/>
          </reference>
        </references>
      </pivotArea>
    </format>
    <format dxfId="41">
      <pivotArea outline="0" collapsedLevelsAreSubtotals="1" fieldPosition="0"/>
    </format>
    <format dxfId="40">
      <pivotArea dataOnly="0" labelOnly="1" fieldPosition="0">
        <references count="1">
          <reference field="0" count="25">
            <x v="52"/>
            <x v="53"/>
            <x v="54"/>
            <x v="55"/>
            <x v="56"/>
            <x v="57"/>
            <x v="58"/>
            <x v="59"/>
            <x v="60"/>
            <x v="61"/>
            <x v="62"/>
            <x v="63"/>
            <x v="64"/>
            <x v="65"/>
            <x v="66"/>
            <x v="67"/>
            <x v="68"/>
            <x v="69"/>
            <x v="70"/>
            <x v="71"/>
            <x v="72"/>
            <x v="73"/>
            <x v="74"/>
            <x v="75"/>
            <x v="76"/>
          </reference>
        </references>
      </pivotArea>
    </format>
  </formats>
  <chartFormats count="2">
    <chartFormat chart="5" format="1"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1"/>
          </reference>
        </references>
      </pivotArea>
    </chartFormat>
  </chartFormats>
  <pivotHierarchies count="45">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Total Positive"/>
    <pivotHierarchy dragToData="1" caption="Total Reviews"/>
    <pivotHierarchy dragToData="1" caption="Total Negative"/>
    <pivotHierarchy dragToData="1"/>
    <pivotHierarchy dragToData="1"/>
  </pivotHierarchies>
  <pivotTableStyleInfo name="PivotStyleLight16" showRowHeaders="1" showColHeaders="1" showRowStripes="0" showColStripes="0" showLastColumn="1"/>
  <filters count="1">
    <filter fld="0" type="count" id="1" iMeasureHier="41">
      <autoFilter ref="A1">
        <filterColumn colId="0">
          <top10 val="25" filterVal="25"/>
        </filterColumn>
      </autoFilter>
    </filter>
  </filters>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eam_app_database]"/>
        <x15:activeTabTopLevelEntity name="[release_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F295FD3-E4C3-42BE-87D4-B6DAD4C13894}" name="PivotTable11" cacheId="93" applyNumberFormats="0" applyBorderFormats="0" applyFontFormats="0" applyPatternFormats="0" applyAlignmentFormats="0" applyWidthHeightFormats="1" dataCaption="Values" tag="4b1ffffc-e4d2-46ea-8523-2c41aa0a3a3a" updatedVersion="8" minRefreshableVersion="3" useAutoFormatting="1" subtotalHiddenItems="1" rowGrandTotals="0" colGrandTotals="0" itemPrintTitles="1" createdVersion="8" indent="0" outline="1" outlineData="1" multipleFieldFilters="0" chartFormat="9" rowHeaderCaption="Developer Name">
  <location ref="A1:B26" firstHeaderRow="1" firstDataRow="1" firstDataCol="1"/>
  <pivotFields count="2">
    <pivotField axis="axisRow" allDrilled="1" subtotalTop="0" showAll="0" measureFilter="1" sortType="ascending" defaultSubtotal="0" defaultAttributeDrillState="1">
      <items count="25">
        <item x="0"/>
        <item x="1"/>
        <item x="2"/>
        <item x="3"/>
        <item x="4"/>
        <item x="5"/>
        <item x="6"/>
        <item x="7"/>
        <item x="8"/>
        <item x="9"/>
        <item x="10"/>
        <item x="11"/>
        <item x="12"/>
        <item x="13"/>
        <item x="14"/>
        <item x="15"/>
        <item x="16"/>
        <item x="17"/>
        <item x="18"/>
        <item x="19"/>
        <item x="20"/>
        <item x="21"/>
        <item x="22"/>
        <item x="23"/>
        <item x="2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25">
    <i>
      <x v="1"/>
    </i>
    <i>
      <x v="9"/>
    </i>
    <i>
      <x v="4"/>
    </i>
    <i>
      <x v="12"/>
    </i>
    <i>
      <x/>
    </i>
    <i>
      <x v="13"/>
    </i>
    <i>
      <x v="23"/>
    </i>
    <i>
      <x v="16"/>
    </i>
    <i>
      <x v="14"/>
    </i>
    <i>
      <x v="3"/>
    </i>
    <i>
      <x v="24"/>
    </i>
    <i>
      <x v="17"/>
    </i>
    <i>
      <x v="11"/>
    </i>
    <i>
      <x v="18"/>
    </i>
    <i>
      <x v="6"/>
    </i>
    <i>
      <x v="19"/>
    </i>
    <i>
      <x v="15"/>
    </i>
    <i>
      <x v="20"/>
    </i>
    <i>
      <x v="5"/>
    </i>
    <i>
      <x v="21"/>
    </i>
    <i>
      <x v="10"/>
    </i>
    <i>
      <x v="22"/>
    </i>
    <i>
      <x v="8"/>
    </i>
    <i>
      <x v="2"/>
    </i>
    <i>
      <x v="7"/>
    </i>
  </rowItems>
  <colItems count="1">
    <i/>
  </colItems>
  <dataFields count="1">
    <dataField name="Average Game Price ($USD)" fld="1" subtotal="average" baseField="0" baseItem="33" numFmtId="166"/>
  </dataFields>
  <formats count="3">
    <format dxfId="2">
      <pivotArea outline="0" collapsedLevelsAreSubtotals="1" fieldPosition="0"/>
    </format>
    <format dxfId="1">
      <pivotArea outline="0" collapsedLevelsAreSubtotals="1" fieldPosition="0"/>
    </format>
    <format dxfId="0">
      <pivotArea dataOnly="0" labelOnly="1" fieldPosition="0">
        <references count="1">
          <reference field="0" count="0"/>
        </references>
      </pivotArea>
    </format>
  </formats>
  <chartFormats count="1">
    <chartFormat chart="1" format="0" series="1">
      <pivotArea type="data" outline="0" fieldPosition="0">
        <references count="1">
          <reference field="4294967294" count="1" selected="0">
            <x v="0"/>
          </reference>
        </references>
      </pivotArea>
    </chartFormat>
  </chartFormats>
  <pivotHierarchies count="45">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Game Price ($USD)"/>
    <pivotHierarchy dragToData="1"/>
    <pivotHierarchy dragToData="1"/>
    <pivotHierarchy dragToData="1"/>
    <pivotHierarchy dragToData="1"/>
    <pivotHierarchy dragToData="1" caption="Average of player_count"/>
    <pivotHierarchy dragToData="1"/>
  </pivotHierarchies>
  <pivotTableStyleInfo name="PivotStyleLight16" showRowHeaders="1" showColHeaders="1" showRowStripes="0" showColStripes="0" showLastColumn="1"/>
  <filters count="1">
    <filter fld="0" type="count" id="1" iMeasureHier="38">
      <autoFilter ref="A1">
        <filterColumn colId="0">
          <top10 val="25" filterVal="25"/>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eam_app_databas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55AB55C3-CADB-4EC1-8845-F54338BD0D06}" autoFormatId="16" applyNumberFormats="0" applyBorderFormats="0" applyFontFormats="0" applyPatternFormats="0" applyAlignmentFormats="0" applyWidthHeightFormats="0">
  <queryTableRefresh nextId="17">
    <queryTableFields count="16">
      <queryTableField id="1" name="appid" tableColumnId="1"/>
      <queryTableField id="2" name="name" tableColumnId="2"/>
      <queryTableField id="3" name="releasedate" tableColumnId="3"/>
      <queryTableField id="4" name="is_free" tableColumnId="4"/>
      <queryTableField id="5" name="price_usd" tableColumnId="5"/>
      <queryTableField id="6" name="genre" tableColumnId="6"/>
      <queryTableField id="7" name="achievement_count" tableColumnId="7"/>
      <queryTableField id="8" name="developer" tableColumnId="8"/>
      <queryTableField id="9" name="publisher" tableColumnId="9"/>
      <queryTableField id="10" name="player_count" tableColumnId="10"/>
      <queryTableField id="11" name="review_score" tableColumnId="11"/>
      <queryTableField id="12" name="review_score_desc" tableColumnId="12"/>
      <queryTableField id="13" name="total_positive" tableColumnId="13"/>
      <queryTableField id="14" name="total_negative" tableColumnId="14"/>
      <queryTableField id="15" name="total_reviews" tableColumnId="15"/>
      <queryTableField id="16" name="free_or_paid" tableColumnId="16"/>
    </queryTableFields>
  </queryTableRefresh>
  <extLst>
    <ext xmlns:x15="http://schemas.microsoft.com/office/spreadsheetml/2010/11/main" uri="{883FBD77-0823-4a55-B5E3-86C4891E6966}">
      <x15:queryTable sourceDataName="Query - steam_app_database"/>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ree_or_paid1" xr10:uid="{6256331A-A048-4BE9-915B-C75F6309848E}" sourceName="[steam_app_database].[free_or_paid]">
  <pivotTables>
    <pivotTable tabId="6" name="PivotTable10"/>
  </pivotTables>
  <data>
    <olap pivotCacheId="1561666094">
      <levels count="2">
        <level uniqueName="[steam_app_database].[free_or_paid].[(All)]" sourceCaption="(All)" count="0"/>
        <level uniqueName="[steam_app_database].[free_or_paid].[free_or_paid]" sourceCaption="free_or_paid" count="2">
          <ranges>
            <range startItem="0">
              <i n="[steam_app_database].[free_or_paid].&amp;[Free-To-Play]" c="Free-To-Play"/>
              <i n="[steam_app_database].[free_or_paid].&amp;[Paid Purchase]" c="Paid Purchase"/>
            </range>
          </ranges>
        </level>
      </levels>
      <selections count="1">
        <selection n="[steam_app_database].[free_or_paid].[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 xr10:uid="{77FF084A-BE21-43B1-81DA-46F74D289828}" sourceName="[steam_app_database].[genre]">
  <pivotTables>
    <pivotTable tabId="10" name="PivotTable1"/>
  </pivotTables>
  <data>
    <olap pivotCacheId="418402143">
      <levels count="2">
        <level uniqueName="[steam_app_database].[genre].[(All)]" sourceCaption="(All)" count="0"/>
        <level uniqueName="[steam_app_database].[genre].[genre]" sourceCaption="genre" count="18">
          <ranges>
            <range startItem="0">
              <i n="[steam_app_database].[genre].&amp;[Action]" c="Action"/>
              <i n="[steam_app_database].[genre].&amp;[Adventure]" c="Adventure"/>
              <i n="[steam_app_database].[genre].&amp;[Casual]" c="Casual"/>
              <i n="[steam_app_database].[genre].&amp;[Early Access]" c="Early Access"/>
              <i n="[steam_app_database].[genre].&amp;[Free To Play]" c="Free To Play"/>
              <i n="[steam_app_database].[genre].&amp;[Game Development]" c="Game Development"/>
              <i n="[steam_app_database].[genre].&amp;[Indie]" c="Indie"/>
              <i n="[steam_app_database].[genre].&amp;[Massively Multiplayer]" c="Massively Multiplayer"/>
              <i n="[steam_app_database].[genre].&amp;[No Genre]" c="No Genre"/>
              <i n="[steam_app_database].[genre].&amp;[Photo Editing]" c="Photo Editing"/>
              <i n="[steam_app_database].[genre].&amp;[Racing]" c="Racing"/>
              <i n="[steam_app_database].[genre].&amp;[RPG]" c="RPG"/>
              <i n="[steam_app_database].[genre].&amp;[Simulation]" c="Simulation"/>
              <i n="[steam_app_database].[genre].&amp;[Sports]" c="Sports"/>
              <i n="[steam_app_database].[genre].&amp;[Strategy]" c="Strategy"/>
              <i n="[steam_app_database].[genre].&amp;[Utilities]" c="Utilities"/>
              <i n="[steam_app_database].[genre].&amp;[Video Production]" c="Video Production"/>
              <i n="[steam_app_database].[genre].&amp;[Web Publishing]" c="Web Publishing"/>
            </range>
          </ranges>
        </level>
      </levels>
      <selections count="1">
        <selection n="[steam_app_database].[genre].&amp;[Strategy]"/>
      </selections>
    </olap>
  </data>
  <extLst>
    <x:ext xmlns:x15="http://schemas.microsoft.com/office/spreadsheetml/2010/11/main" uri="{470722E0-AACD-4C17-9CDC-17EF765DBC7E}">
      <x15:slicerCacheHideItemsWithNoData count="1">
        <x15:slicerCacheOlapLevelName uniqueName="[steam_app_database].[genre].[genre]" count="0"/>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ree_or_paid2" xr10:uid="{A83B4C1A-0C3E-4290-8479-4014000B1A08}" sourceName="[steam_app_database].[free_or_paid]">
  <pivotTables>
    <pivotTable tabId="10" name="PivotTable1"/>
  </pivotTables>
  <data>
    <olap pivotCacheId="418402143">
      <levels count="2">
        <level uniqueName="[steam_app_database].[free_or_paid].[(All)]" sourceCaption="(All)" count="0"/>
        <level uniqueName="[steam_app_database].[free_or_paid].[free_or_paid]" sourceCaption="free_or_paid" count="2">
          <ranges>
            <range startItem="0">
              <i n="[steam_app_database].[free_or_paid].&amp;[Free-To-Play]" c="Free-To-Play"/>
              <i n="[steam_app_database].[free_or_paid].&amp;[Paid Purchase]" c="Paid Purchase"/>
            </range>
          </ranges>
        </level>
      </levels>
      <selections count="1">
        <selection n="[steam_app_database].[free_or_paid].[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ree_or_paid" xr10:uid="{92FE0D2C-D456-4628-B556-A3888FD5266D}" sourceName="[steam_app_database].[free_or_paid]">
  <pivotTables>
    <pivotTable tabId="2" name="PivotTable5"/>
  </pivotTables>
  <data>
    <olap pivotCacheId="82817180">
      <levels count="2">
        <level uniqueName="[steam_app_database].[free_or_paid].[(All)]" sourceCaption="(All)" count="0"/>
        <level uniqueName="[steam_app_database].[free_or_paid].[free_or_paid]" sourceCaption="free_or_paid" count="2">
          <ranges>
            <range startItem="0">
              <i n="[steam_app_database].[free_or_paid].&amp;[Free-To-Play]" c="Free-To-Play"/>
              <i n="[steam_app_database].[free_or_paid].&amp;[Paid Purchase]" c="Paid Purchase"/>
            </range>
          </ranges>
        </level>
      </levels>
      <selections count="1">
        <selection n="[steam_app_database].[free_or_paid].&amp;[Paid Purchase]"/>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ame Genre" xr10:uid="{98315651-32C9-4EC8-921F-6381A3A8B9E1}" cache="Slicer_genre" caption="Game Genre" columnCount="2" level="1" lockedPosition="1" rowHeight="257175"/>
  <slicer name="free_or_paid 2" xr10:uid="{6866EE5F-AB11-4302-A424-E1DAFC2FF6E9}" cache="Slicer_free_or_paid2" caption="Game Type" level="1" lockedPosition="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ree_or_paid" xr10:uid="{67711B59-69C6-4BFA-958D-2C1158AB1B8E}" cache="Slicer_free_or_paid" caption="Game Type" level="1" lockedPosition="1"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ree_or_paid 1" xr10:uid="{DCCE1D0A-1435-4890-B2E1-246D54F48E84}" cache="Slicer_free_or_paid1" caption="Game Type" level="1" lockedPosition="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22F1516-D20A-46EB-8FC4-70A5743641C6}" name="steam_app_database" displayName="steam_app_database" ref="A1:P1001" tableType="queryTable" totalsRowShown="0">
  <autoFilter ref="A1:P1001" xr:uid="{122F1516-D20A-46EB-8FC4-70A5743641C6}"/>
  <sortState xmlns:xlrd2="http://schemas.microsoft.com/office/spreadsheetml/2017/richdata2" ref="A2:P1001">
    <sortCondition descending="1" ref="J1:J1001"/>
  </sortState>
  <tableColumns count="16">
    <tableColumn id="1" xr3:uid="{CD90BA96-A718-47D4-B876-22D874FFC7BF}" uniqueName="1" name="appid" queryTableFieldId="1" dataDxfId="39"/>
    <tableColumn id="2" xr3:uid="{08157D13-56CF-4F50-84B3-4F133DD78956}" uniqueName="2" name="name" queryTableFieldId="2" dataDxfId="38"/>
    <tableColumn id="3" xr3:uid="{6D420E5E-6A47-4793-85B0-407E8E8FD5BB}" uniqueName="3" name="releasedate" queryTableFieldId="3" dataDxfId="37"/>
    <tableColumn id="4" xr3:uid="{715F6CFC-F33E-48A6-83C8-544466ECED34}" uniqueName="4" name="is_free" queryTableFieldId="4" dataDxfId="36"/>
    <tableColumn id="5" xr3:uid="{ABC03F34-E468-4D24-B8A9-887A32FD2BDB}" uniqueName="5" name="price_usd" queryTableFieldId="5" dataDxfId="35"/>
    <tableColumn id="6" xr3:uid="{0B79D297-BAC5-4BDF-AB5E-1E8B927406A6}" uniqueName="6" name="genre" queryTableFieldId="6" dataDxfId="34"/>
    <tableColumn id="7" xr3:uid="{5F68941F-3860-46D5-8194-32229EB03D7A}" uniqueName="7" name="achievement_count" queryTableFieldId="7" dataDxfId="33"/>
    <tableColumn id="8" xr3:uid="{8FB70E45-37E6-4C2B-B1B3-BA2E08111422}" uniqueName="8" name="developer" queryTableFieldId="8" dataDxfId="32"/>
    <tableColumn id="9" xr3:uid="{B12EC5A2-B432-43DC-8B86-01FA2FAA2F00}" uniqueName="9" name="publisher" queryTableFieldId="9" dataDxfId="31"/>
    <tableColumn id="10" xr3:uid="{176E9DE4-6338-48CC-835A-31298E4E0491}" uniqueName="10" name="player_count" queryTableFieldId="10" dataDxfId="30"/>
    <tableColumn id="11" xr3:uid="{F4F7F54D-9DC7-4D63-B29F-704B2F796D5A}" uniqueName="11" name="review_score" queryTableFieldId="11" dataDxfId="29"/>
    <tableColumn id="12" xr3:uid="{A48EBA3D-4F46-47C6-A64B-73F0C553F360}" uniqueName="12" name="review_score_desc" queryTableFieldId="12" dataDxfId="28"/>
    <tableColumn id="13" xr3:uid="{57419343-7143-4699-9812-705063BFD729}" uniqueName="13" name="total_positive" queryTableFieldId="13" dataDxfId="27"/>
    <tableColumn id="14" xr3:uid="{D33DA161-26D9-481D-AC64-11BD70F1BA3A}" uniqueName="14" name="total_negative" queryTableFieldId="14" dataDxfId="26"/>
    <tableColumn id="15" xr3:uid="{C1C88317-125C-4663-A692-48B1C99FB798}" uniqueName="15" name="total_reviews" queryTableFieldId="15" dataDxfId="25"/>
    <tableColumn id="16" xr3:uid="{7AD6E48F-7EA3-4F94-8257-DBDB5B8A20E8}" uniqueName="16" name="free_or_paid" queryTableFieldId="1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releasedate" xr10:uid="{7D12E227-41EC-46EF-A751-4041BEC75EAD}" sourceName="[steam_app_database].[releasedate]">
  <pivotTables>
    <pivotTable tabId="3" name="PivotTable7"/>
  </pivotTables>
  <state minimalRefreshVersion="6" lastRefreshVersion="6" pivotCacheId="1292866813" filterType="unknown">
    <bounds startDate="1998-01-01T00:00:00" endDate="2027-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53844472-B0E3-4E29-A395-960BD821F2EB}" sourceName="[release_calendar].[Date]">
  <pivotTables>
    <pivotTable tabId="6" name="PivotTable10"/>
  </pivotTables>
  <state minimalRefreshVersion="6" lastRefreshVersion="6" pivotCacheId="136261725" filterType="unknown">
    <bounds startDate="1998-01-01T00:00:00" endDate="2027-01-01T00:00:00"/>
  </state>
</timelineCacheDefinition>
</file>

<file path=xl/timelineCaches/timelineCache3.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1" xr10:uid="{E7AEB947-F747-47F4-B2D5-C85125B7955A}" sourceName="[release_calendar].[Date]">
  <pivotTables>
    <pivotTable tabId="10" name="PivotTable1"/>
  </pivotTables>
  <state minimalRefreshVersion="6" lastRefreshVersion="6" pivotCacheId="1681750818" filterType="unknown">
    <bounds startDate="1998-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2F63F0C9-3063-4359-944B-B506ED476559}" cache="Timeline_Date1" caption="Release Timeline" level="0" selectionLevel="0" scrollPosition="1998-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releasedate" xr10:uid="{EA5A2540-0DA1-4E0D-9ABA-D5D907A7CD1A}" cache="Timeline_releasedate" caption="Release Timeline" level="0" selectionLevel="0" scrollPosition="2009-02-13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Release Timeline" xr10:uid="{932EBEE3-5849-4505-9F13-1C26F6B5B690}" cache="Timeline_Date" caption="Release Timeline" level="0" selectionLevel="0" scrollPosition="2001-11-14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microsoft.com/office/2007/relationships/slicer" Target="../slicers/slicer2.xml"/></Relationships>
</file>

<file path=xl/worksheets/_rels/sheet6.xml.rels><?xml version="1.0" encoding="UTF-8" standalone="yes"?>
<Relationships xmlns="http://schemas.openxmlformats.org/package/2006/relationships"><Relationship Id="rId3" Type="http://schemas.microsoft.com/office/2011/relationships/timeline" Target="../timelines/timeline2.xml"/><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2.bin"/><Relationship Id="rId1" Type="http://schemas.openxmlformats.org/officeDocument/2006/relationships/pivotTable" Target="../pivotTables/pivotTable8.xml"/><Relationship Id="rId5" Type="http://schemas.microsoft.com/office/2011/relationships/timeline" Target="../timelines/timeline3.xml"/><Relationship Id="rId4" Type="http://schemas.microsoft.com/office/2007/relationships/slicer" Target="../slicers/slicer3.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733C3-E6AF-4E12-AB44-84C7D8312B91}">
  <dimension ref="A1:P1001"/>
  <sheetViews>
    <sheetView topLeftCell="A947" workbookViewId="0">
      <selection activeCell="I26" sqref="I26"/>
    </sheetView>
  </sheetViews>
  <sheetFormatPr defaultRowHeight="15" x14ac:dyDescent="0.25"/>
  <cols>
    <col min="1" max="1" width="8.28515625" bestFit="1" customWidth="1"/>
    <col min="2" max="2" width="57.140625" bestFit="1" customWidth="1"/>
    <col min="3" max="3" width="14" bestFit="1" customWidth="1"/>
    <col min="4" max="4" width="9.42578125" bestFit="1" customWidth="1"/>
    <col min="5" max="5" width="12" bestFit="1" customWidth="1"/>
    <col min="6" max="6" width="20.140625" bestFit="1" customWidth="1"/>
    <col min="7" max="7" width="21.28515625" bestFit="1" customWidth="1"/>
    <col min="8" max="8" width="57.85546875" bestFit="1" customWidth="1"/>
    <col min="9" max="9" width="40.85546875" bestFit="1" customWidth="1"/>
    <col min="10" max="10" width="14.85546875" bestFit="1" customWidth="1"/>
    <col min="11" max="11" width="15.140625" bestFit="1" customWidth="1"/>
    <col min="12" max="12" width="22.7109375" bestFit="1" customWidth="1"/>
    <col min="13" max="13" width="15.7109375" bestFit="1" customWidth="1"/>
    <col min="14" max="14" width="16.140625" bestFit="1" customWidth="1"/>
    <col min="15" max="15" width="15.42578125" bestFit="1" customWidth="1"/>
    <col min="16" max="16" width="14.42578125" bestFit="1" customWidth="1"/>
    <col min="17" max="17" width="24.42578125" bestFit="1" customWidth="1"/>
    <col min="18" max="18" width="26.5703125" bestFit="1" customWidth="1"/>
    <col min="19" max="19" width="18.140625" bestFit="1" customWidth="1"/>
    <col min="20" max="20" width="32.85546875" bestFit="1" customWidth="1"/>
    <col min="21" max="21" width="33.85546875" bestFit="1" customWidth="1"/>
    <col min="22" max="22" width="21" bestFit="1" customWidth="1"/>
    <col min="23" max="23" width="11.140625" bestFit="1" customWidth="1"/>
    <col min="24" max="24" width="12" bestFit="1" customWidth="1"/>
    <col min="25" max="25" width="18.7109375" bestFit="1" customWidth="1"/>
    <col min="26" max="26" width="11.5703125" bestFit="1" customWidth="1"/>
    <col min="27" max="27" width="28" bestFit="1" customWidth="1"/>
    <col min="28" max="28" width="14.42578125" bestFit="1" customWidth="1"/>
    <col min="29" max="29" width="17.85546875" bestFit="1" customWidth="1"/>
    <col min="30" max="30" width="33.42578125" bestFit="1" customWidth="1"/>
    <col min="31" max="31" width="10" bestFit="1" customWidth="1"/>
    <col min="32" max="32" width="5.7109375" bestFit="1" customWidth="1"/>
    <col min="33" max="33" width="9.5703125" bestFit="1" customWidth="1"/>
    <col min="34" max="34" width="6.7109375" bestFit="1" customWidth="1"/>
    <col min="35" max="35" width="22.42578125" bestFit="1" customWidth="1"/>
    <col min="36" max="36" width="22.5703125" bestFit="1" customWidth="1"/>
    <col min="37" max="37" width="23" bestFit="1" customWidth="1"/>
    <col min="38" max="38" width="9.42578125" bestFit="1" customWidth="1"/>
    <col min="39" max="39" width="23.28515625" bestFit="1" customWidth="1"/>
    <col min="40" max="40" width="10.85546875" bestFit="1" customWidth="1"/>
    <col min="41" max="41" width="21.85546875" bestFit="1" customWidth="1"/>
    <col min="42" max="42" width="21.7109375" bestFit="1" customWidth="1"/>
    <col min="43" max="43" width="14.42578125" bestFit="1" customWidth="1"/>
    <col min="44" max="44" width="16.42578125" bestFit="1" customWidth="1"/>
    <col min="45" max="45" width="17" bestFit="1" customWidth="1"/>
    <col min="46" max="46" width="8" bestFit="1" customWidth="1"/>
    <col min="47" max="47" width="17.42578125" bestFit="1" customWidth="1"/>
    <col min="48" max="48" width="14.5703125" bestFit="1" customWidth="1"/>
    <col min="49" max="49" width="8" bestFit="1" customWidth="1"/>
    <col min="50" max="50" width="11.5703125" bestFit="1" customWidth="1"/>
    <col min="51" max="51" width="22.28515625" bestFit="1" customWidth="1"/>
    <col min="52" max="52" width="36.28515625" bestFit="1" customWidth="1"/>
    <col min="53" max="53" width="19" bestFit="1" customWidth="1"/>
    <col min="54" max="54" width="27.28515625" bestFit="1" customWidth="1"/>
    <col min="55" max="55" width="27.85546875" bestFit="1" customWidth="1"/>
    <col min="56" max="56" width="15" bestFit="1" customWidth="1"/>
    <col min="57" max="57" width="10.5703125" bestFit="1" customWidth="1"/>
    <col min="58" max="58" width="23.28515625" bestFit="1" customWidth="1"/>
    <col min="59" max="59" width="12.85546875" bestFit="1" customWidth="1"/>
    <col min="60" max="60" width="13.28515625" bestFit="1" customWidth="1"/>
    <col min="61" max="61" width="11.28515625" bestFit="1" customWidth="1"/>
    <col min="62" max="63" width="5" bestFit="1" customWidth="1"/>
    <col min="64" max="64" width="6" bestFit="1" customWidth="1"/>
    <col min="65" max="68" width="5" bestFit="1" customWidth="1"/>
    <col min="69" max="69" width="6" bestFit="1" customWidth="1"/>
    <col min="70" max="71" width="5" bestFit="1" customWidth="1"/>
    <col min="72" max="73" width="6" bestFit="1" customWidth="1"/>
    <col min="74" max="77" width="5" bestFit="1" customWidth="1"/>
    <col min="78" max="78" width="6" bestFit="1" customWidth="1"/>
    <col min="79" max="91" width="5" bestFit="1" customWidth="1"/>
    <col min="92" max="92" width="6" bestFit="1" customWidth="1"/>
    <col min="93" max="93" width="5" bestFit="1" customWidth="1"/>
    <col min="94" max="94" width="6" bestFit="1" customWidth="1"/>
    <col min="95" max="104" width="5" bestFit="1" customWidth="1"/>
    <col min="105" max="105" width="6" bestFit="1" customWidth="1"/>
    <col min="106" max="108" width="5" bestFit="1" customWidth="1"/>
    <col min="109" max="110" width="6" bestFit="1" customWidth="1"/>
    <col min="111" max="119" width="5" bestFit="1" customWidth="1"/>
    <col min="120" max="121" width="6" bestFit="1" customWidth="1"/>
    <col min="122" max="126" width="5" bestFit="1" customWidth="1"/>
    <col min="127" max="127" width="6" bestFit="1" customWidth="1"/>
    <col min="128" max="128" width="5" bestFit="1" customWidth="1"/>
    <col min="129" max="129" width="7" bestFit="1" customWidth="1"/>
    <col min="130" max="136" width="5" bestFit="1" customWidth="1"/>
    <col min="137" max="137" width="6" bestFit="1" customWidth="1"/>
    <col min="138" max="138" width="5" bestFit="1" customWidth="1"/>
    <col min="139" max="140" width="6" bestFit="1" customWidth="1"/>
    <col min="141" max="142" width="5" bestFit="1" customWidth="1"/>
    <col min="143" max="143" width="6" bestFit="1" customWidth="1"/>
    <col min="144" max="147" width="5" bestFit="1" customWidth="1"/>
    <col min="148" max="148" width="6" bestFit="1" customWidth="1"/>
    <col min="149" max="152" width="5" bestFit="1" customWidth="1"/>
    <col min="153" max="153" width="6" bestFit="1" customWidth="1"/>
    <col min="154" max="159" width="5" bestFit="1" customWidth="1"/>
    <col min="160" max="160" width="6" bestFit="1" customWidth="1"/>
    <col min="161" max="162" width="5" bestFit="1" customWidth="1"/>
    <col min="163" max="164" width="6" bestFit="1" customWidth="1"/>
    <col min="165" max="165" width="5" bestFit="1" customWidth="1"/>
    <col min="166" max="166" width="6" bestFit="1" customWidth="1"/>
    <col min="167" max="168" width="5" bestFit="1" customWidth="1"/>
    <col min="169" max="169" width="6" bestFit="1" customWidth="1"/>
    <col min="170" max="170" width="5" bestFit="1" customWidth="1"/>
    <col min="171" max="171" width="7" bestFit="1" customWidth="1"/>
    <col min="172" max="175" width="5" bestFit="1" customWidth="1"/>
    <col min="176" max="176" width="6" bestFit="1" customWidth="1"/>
    <col min="177" max="181" width="5" bestFit="1" customWidth="1"/>
    <col min="182" max="182" width="6" bestFit="1" customWidth="1"/>
    <col min="183" max="184" width="5" bestFit="1" customWidth="1"/>
    <col min="185" max="185" width="6" bestFit="1" customWidth="1"/>
    <col min="186" max="190" width="5" bestFit="1" customWidth="1"/>
    <col min="191" max="191" width="6" bestFit="1" customWidth="1"/>
    <col min="192" max="196" width="5" bestFit="1" customWidth="1"/>
    <col min="197" max="197" width="6" bestFit="1" customWidth="1"/>
    <col min="198" max="198" width="5" bestFit="1" customWidth="1"/>
    <col min="199" max="199" width="6" bestFit="1" customWidth="1"/>
    <col min="200" max="205" width="5" bestFit="1" customWidth="1"/>
    <col min="206" max="206" width="6" bestFit="1" customWidth="1"/>
    <col min="207" max="216" width="5" bestFit="1" customWidth="1"/>
    <col min="217" max="217" width="6" bestFit="1" customWidth="1"/>
    <col min="218" max="223" width="5" bestFit="1" customWidth="1"/>
    <col min="224" max="224" width="6" bestFit="1" customWidth="1"/>
    <col min="225" max="228" width="5" bestFit="1" customWidth="1"/>
    <col min="229" max="229" width="7" bestFit="1" customWidth="1"/>
    <col min="230" max="232" width="5" bestFit="1" customWidth="1"/>
    <col min="233" max="233" width="6" bestFit="1" customWidth="1"/>
    <col min="234" max="234" width="5" bestFit="1" customWidth="1"/>
    <col min="235" max="235" width="6" bestFit="1" customWidth="1"/>
    <col min="236" max="238" width="5" bestFit="1" customWidth="1"/>
    <col min="239" max="239" width="6" bestFit="1" customWidth="1"/>
    <col min="240" max="247" width="5" bestFit="1" customWidth="1"/>
    <col min="248" max="248" width="6" bestFit="1" customWidth="1"/>
    <col min="249" max="256" width="5" bestFit="1" customWidth="1"/>
    <col min="257" max="257" width="6" bestFit="1" customWidth="1"/>
    <col min="258" max="264" width="5" bestFit="1" customWidth="1"/>
    <col min="265" max="265" width="7" bestFit="1" customWidth="1"/>
    <col min="266" max="272" width="5" bestFit="1" customWidth="1"/>
    <col min="273" max="273" width="6" bestFit="1" customWidth="1"/>
    <col min="274" max="277" width="5" bestFit="1" customWidth="1"/>
    <col min="278" max="278" width="6" bestFit="1" customWidth="1"/>
    <col min="279" max="285" width="5" bestFit="1" customWidth="1"/>
    <col min="286" max="286" width="6" bestFit="1" customWidth="1"/>
    <col min="287" max="300" width="5" bestFit="1" customWidth="1"/>
    <col min="301" max="301" width="6" bestFit="1" customWidth="1"/>
    <col min="302" max="310" width="5" bestFit="1" customWidth="1"/>
    <col min="311" max="311" width="6" bestFit="1" customWidth="1"/>
    <col min="312" max="313" width="5" bestFit="1" customWidth="1"/>
    <col min="314" max="314" width="6" bestFit="1" customWidth="1"/>
    <col min="315" max="323" width="5" bestFit="1" customWidth="1"/>
    <col min="324" max="325" width="6" bestFit="1" customWidth="1"/>
    <col min="326" max="330" width="5" bestFit="1" customWidth="1"/>
    <col min="331" max="331" width="6" bestFit="1" customWidth="1"/>
    <col min="332" max="346" width="5" bestFit="1" customWidth="1"/>
    <col min="347" max="347" width="6" bestFit="1" customWidth="1"/>
    <col min="348" max="349" width="5" bestFit="1" customWidth="1"/>
    <col min="350" max="351" width="6" bestFit="1" customWidth="1"/>
    <col min="352" max="352" width="5" bestFit="1" customWidth="1"/>
    <col min="353" max="353" width="6" bestFit="1" customWidth="1"/>
    <col min="354" max="355" width="5" bestFit="1" customWidth="1"/>
    <col min="356" max="356" width="6" bestFit="1" customWidth="1"/>
    <col min="357" max="358" width="5" bestFit="1" customWidth="1"/>
    <col min="359" max="359" width="6" bestFit="1" customWidth="1"/>
    <col min="360" max="363" width="5" bestFit="1" customWidth="1"/>
    <col min="364" max="364" width="6" bestFit="1" customWidth="1"/>
    <col min="365" max="369" width="5" bestFit="1" customWidth="1"/>
    <col min="370" max="370" width="6" bestFit="1" customWidth="1"/>
    <col min="371" max="371" width="5" bestFit="1" customWidth="1"/>
    <col min="372" max="372" width="7" bestFit="1" customWidth="1"/>
    <col min="373" max="377" width="5" bestFit="1" customWidth="1"/>
    <col min="378" max="378" width="6" bestFit="1" customWidth="1"/>
    <col min="379" max="380" width="5" bestFit="1" customWidth="1"/>
    <col min="381" max="381" width="6" bestFit="1" customWidth="1"/>
    <col min="382" max="383" width="5" bestFit="1" customWidth="1"/>
    <col min="384" max="384" width="6" bestFit="1" customWidth="1"/>
    <col min="385" max="388" width="5" bestFit="1" customWidth="1"/>
    <col min="389" max="389" width="6" bestFit="1" customWidth="1"/>
    <col min="390" max="394" width="5" bestFit="1" customWidth="1"/>
    <col min="395" max="395" width="6" bestFit="1" customWidth="1"/>
    <col min="396" max="402" width="5" bestFit="1" customWidth="1"/>
    <col min="403" max="403" width="6" bestFit="1" customWidth="1"/>
    <col min="404" max="406" width="5" bestFit="1" customWidth="1"/>
    <col min="407" max="407" width="6" bestFit="1" customWidth="1"/>
    <col min="408" max="412" width="5" bestFit="1" customWidth="1"/>
    <col min="413" max="413" width="6" bestFit="1" customWidth="1"/>
    <col min="414" max="414" width="5" bestFit="1" customWidth="1"/>
    <col min="415" max="415" width="6" bestFit="1" customWidth="1"/>
    <col min="416" max="417" width="5" bestFit="1" customWidth="1"/>
    <col min="418" max="418" width="7" bestFit="1" customWidth="1"/>
    <col min="419" max="424" width="5" bestFit="1" customWidth="1"/>
    <col min="425" max="426" width="6" bestFit="1" customWidth="1"/>
    <col min="427" max="427" width="5" bestFit="1" customWidth="1"/>
    <col min="428" max="428" width="6" bestFit="1" customWidth="1"/>
    <col min="429" max="435" width="5" bestFit="1" customWidth="1"/>
    <col min="436" max="437" width="6" bestFit="1" customWidth="1"/>
    <col min="438" max="441" width="5" bestFit="1" customWidth="1"/>
    <col min="442" max="442" width="6" bestFit="1" customWidth="1"/>
    <col min="443" max="443" width="5" bestFit="1" customWidth="1"/>
    <col min="444" max="444" width="4" bestFit="1" customWidth="1"/>
    <col min="445" max="446" width="5" bestFit="1" customWidth="1"/>
    <col min="447" max="447" width="4" bestFit="1" customWidth="1"/>
    <col min="448" max="449" width="5" bestFit="1" customWidth="1"/>
    <col min="450" max="450" width="6" bestFit="1" customWidth="1"/>
    <col min="451" max="452" width="5" bestFit="1" customWidth="1"/>
    <col min="453" max="453" width="6" bestFit="1" customWidth="1"/>
    <col min="454" max="454" width="4" bestFit="1" customWidth="1"/>
    <col min="455" max="455" width="6" bestFit="1" customWidth="1"/>
    <col min="456" max="458" width="5" bestFit="1" customWidth="1"/>
    <col min="459" max="459" width="6" bestFit="1" customWidth="1"/>
    <col min="460" max="464" width="5" bestFit="1" customWidth="1"/>
    <col min="465" max="465" width="6" bestFit="1" customWidth="1"/>
    <col min="466" max="466" width="4" bestFit="1" customWidth="1"/>
    <col min="467" max="468" width="5" bestFit="1" customWidth="1"/>
    <col min="469" max="469" width="6" bestFit="1" customWidth="1"/>
    <col min="470" max="470" width="5" bestFit="1" customWidth="1"/>
    <col min="471" max="471" width="4" bestFit="1" customWidth="1"/>
    <col min="472" max="472" width="5" bestFit="1" customWidth="1"/>
    <col min="473" max="474" width="4" bestFit="1" customWidth="1"/>
    <col min="475" max="475" width="5" bestFit="1" customWidth="1"/>
    <col min="476" max="477" width="6" bestFit="1" customWidth="1"/>
    <col min="478" max="478" width="4" bestFit="1" customWidth="1"/>
    <col min="479" max="479" width="5" bestFit="1" customWidth="1"/>
    <col min="480" max="481" width="4" bestFit="1" customWidth="1"/>
    <col min="482" max="482" width="5" bestFit="1" customWidth="1"/>
    <col min="483" max="483" width="4" bestFit="1" customWidth="1"/>
    <col min="484" max="484" width="5" bestFit="1" customWidth="1"/>
    <col min="485" max="485" width="6" bestFit="1" customWidth="1"/>
    <col min="486" max="488" width="5" bestFit="1" customWidth="1"/>
    <col min="489" max="489" width="4" bestFit="1" customWidth="1"/>
    <col min="490" max="490" width="6" bestFit="1" customWidth="1"/>
    <col min="491" max="493" width="5" bestFit="1" customWidth="1"/>
    <col min="494" max="495" width="4" bestFit="1" customWidth="1"/>
    <col min="496" max="496" width="5" bestFit="1" customWidth="1"/>
    <col min="497" max="497" width="4" bestFit="1" customWidth="1"/>
    <col min="498" max="498" width="5" bestFit="1" customWidth="1"/>
    <col min="499" max="499" width="6" bestFit="1" customWidth="1"/>
    <col min="500" max="500" width="5" bestFit="1" customWidth="1"/>
    <col min="501" max="501" width="4" bestFit="1" customWidth="1"/>
    <col min="502" max="502" width="5" bestFit="1" customWidth="1"/>
    <col min="503" max="503" width="4" bestFit="1" customWidth="1"/>
    <col min="504" max="505" width="5" bestFit="1" customWidth="1"/>
    <col min="506" max="506" width="4" bestFit="1" customWidth="1"/>
    <col min="507" max="507" width="5" bestFit="1" customWidth="1"/>
    <col min="508" max="508" width="4" bestFit="1" customWidth="1"/>
    <col min="509" max="509" width="5" bestFit="1" customWidth="1"/>
    <col min="510" max="510" width="4" bestFit="1" customWidth="1"/>
    <col min="511" max="512" width="5" bestFit="1" customWidth="1"/>
    <col min="513" max="513" width="4" bestFit="1" customWidth="1"/>
    <col min="514" max="515" width="5" bestFit="1" customWidth="1"/>
    <col min="516" max="516" width="4" bestFit="1" customWidth="1"/>
    <col min="517" max="518" width="5" bestFit="1" customWidth="1"/>
    <col min="519" max="519" width="4" bestFit="1" customWidth="1"/>
    <col min="520" max="521" width="5" bestFit="1" customWidth="1"/>
    <col min="522" max="522" width="6" bestFit="1" customWidth="1"/>
    <col min="523" max="525" width="5" bestFit="1" customWidth="1"/>
    <col min="526" max="526" width="4" bestFit="1" customWidth="1"/>
    <col min="527" max="528" width="5" bestFit="1" customWidth="1"/>
    <col min="529" max="529" width="4" bestFit="1" customWidth="1"/>
    <col min="530" max="530" width="5" bestFit="1" customWidth="1"/>
    <col min="531" max="531" width="4" bestFit="1" customWidth="1"/>
    <col min="532" max="532" width="5" bestFit="1" customWidth="1"/>
    <col min="533" max="534" width="6" bestFit="1" customWidth="1"/>
    <col min="535" max="535" width="4" bestFit="1" customWidth="1"/>
    <col min="536" max="537" width="5" bestFit="1" customWidth="1"/>
    <col min="538" max="539" width="4" bestFit="1" customWidth="1"/>
    <col min="540" max="544" width="5" bestFit="1" customWidth="1"/>
    <col min="545" max="546" width="4" bestFit="1" customWidth="1"/>
    <col min="547" max="550" width="5" bestFit="1" customWidth="1"/>
    <col min="551" max="551" width="4" bestFit="1" customWidth="1"/>
    <col min="552" max="556" width="5" bestFit="1" customWidth="1"/>
    <col min="557" max="558" width="4" bestFit="1" customWidth="1"/>
    <col min="559" max="560" width="5" bestFit="1" customWidth="1"/>
    <col min="561" max="561" width="4" bestFit="1" customWidth="1"/>
    <col min="562" max="562" width="5" bestFit="1" customWidth="1"/>
    <col min="563" max="565" width="4" bestFit="1" customWidth="1"/>
    <col min="566" max="566" width="5" bestFit="1" customWidth="1"/>
    <col min="567" max="567" width="4" bestFit="1" customWidth="1"/>
    <col min="568" max="568" width="5" bestFit="1" customWidth="1"/>
    <col min="569" max="569" width="4" bestFit="1" customWidth="1"/>
    <col min="570" max="570" width="5" bestFit="1" customWidth="1"/>
    <col min="571" max="571" width="4" bestFit="1" customWidth="1"/>
    <col min="572" max="574" width="5" bestFit="1" customWidth="1"/>
    <col min="575" max="575" width="4" bestFit="1" customWidth="1"/>
    <col min="576" max="577" width="5" bestFit="1" customWidth="1"/>
    <col min="578" max="580" width="4" bestFit="1" customWidth="1"/>
    <col min="581" max="581" width="6" bestFit="1" customWidth="1"/>
    <col min="582" max="582" width="5" bestFit="1" customWidth="1"/>
    <col min="583" max="583" width="6" bestFit="1" customWidth="1"/>
    <col min="584" max="584" width="5" bestFit="1" customWidth="1"/>
    <col min="585" max="585" width="6" bestFit="1" customWidth="1"/>
    <col min="586" max="586" width="4" bestFit="1" customWidth="1"/>
    <col min="587" max="589" width="5" bestFit="1" customWidth="1"/>
    <col min="590" max="590" width="4" bestFit="1" customWidth="1"/>
    <col min="591" max="595" width="5" bestFit="1" customWidth="1"/>
    <col min="596" max="599" width="4" bestFit="1" customWidth="1"/>
    <col min="600" max="600" width="6" bestFit="1" customWidth="1"/>
    <col min="601" max="601" width="4" bestFit="1" customWidth="1"/>
    <col min="602" max="603" width="5" bestFit="1" customWidth="1"/>
    <col min="604" max="604" width="6" bestFit="1" customWidth="1"/>
    <col min="605" max="606" width="4" bestFit="1" customWidth="1"/>
    <col min="607" max="608" width="5" bestFit="1" customWidth="1"/>
    <col min="609" max="609" width="4" bestFit="1" customWidth="1"/>
    <col min="610" max="610" width="5" bestFit="1" customWidth="1"/>
    <col min="611" max="611" width="4" bestFit="1" customWidth="1"/>
    <col min="612" max="613" width="5" bestFit="1" customWidth="1"/>
    <col min="614" max="614" width="4" bestFit="1" customWidth="1"/>
    <col min="615" max="615" width="5" bestFit="1" customWidth="1"/>
    <col min="616" max="616" width="4" bestFit="1" customWidth="1"/>
    <col min="617" max="617" width="5" bestFit="1" customWidth="1"/>
    <col min="618" max="618" width="4" bestFit="1" customWidth="1"/>
    <col min="619" max="619" width="5" bestFit="1" customWidth="1"/>
    <col min="620" max="620" width="4" bestFit="1" customWidth="1"/>
    <col min="621" max="621" width="6" bestFit="1" customWidth="1"/>
    <col min="622" max="624" width="5" bestFit="1" customWidth="1"/>
    <col min="625" max="625" width="4" bestFit="1" customWidth="1"/>
    <col min="626" max="626" width="5" bestFit="1" customWidth="1"/>
    <col min="627" max="627" width="6" bestFit="1" customWidth="1"/>
    <col min="628" max="629" width="4" bestFit="1" customWidth="1"/>
    <col min="630" max="630" width="6" bestFit="1" customWidth="1"/>
    <col min="631" max="631" width="5" bestFit="1" customWidth="1"/>
    <col min="632" max="632" width="4" bestFit="1" customWidth="1"/>
    <col min="633" max="633" width="6" bestFit="1" customWidth="1"/>
    <col min="634" max="636" width="5" bestFit="1" customWidth="1"/>
    <col min="637" max="637" width="4" bestFit="1" customWidth="1"/>
    <col min="638" max="641" width="5" bestFit="1" customWidth="1"/>
    <col min="642" max="643" width="4" bestFit="1" customWidth="1"/>
    <col min="644" max="644" width="5" bestFit="1" customWidth="1"/>
    <col min="645" max="645" width="4" bestFit="1" customWidth="1"/>
    <col min="646" max="646" width="5" bestFit="1" customWidth="1"/>
    <col min="647" max="647" width="4" bestFit="1" customWidth="1"/>
    <col min="648" max="649" width="5" bestFit="1" customWidth="1"/>
    <col min="650" max="650" width="4" bestFit="1" customWidth="1"/>
    <col min="651" max="651" width="5" bestFit="1" customWidth="1"/>
    <col min="652" max="652" width="4" bestFit="1" customWidth="1"/>
    <col min="653" max="654" width="5" bestFit="1" customWidth="1"/>
    <col min="655" max="655" width="6" bestFit="1" customWidth="1"/>
    <col min="656" max="656" width="4" bestFit="1" customWidth="1"/>
    <col min="657" max="659" width="5" bestFit="1" customWidth="1"/>
    <col min="660" max="662" width="4" bestFit="1" customWidth="1"/>
    <col min="663" max="663" width="6" bestFit="1" customWidth="1"/>
    <col min="664" max="665" width="4" bestFit="1" customWidth="1"/>
    <col min="666" max="667" width="5" bestFit="1" customWidth="1"/>
    <col min="668" max="668" width="4" bestFit="1" customWidth="1"/>
    <col min="669" max="670" width="5" bestFit="1" customWidth="1"/>
    <col min="671" max="671" width="4" bestFit="1" customWidth="1"/>
    <col min="672" max="672" width="6" bestFit="1" customWidth="1"/>
    <col min="673" max="673" width="4" bestFit="1" customWidth="1"/>
    <col min="674" max="674" width="6" bestFit="1" customWidth="1"/>
    <col min="675" max="675" width="5" bestFit="1" customWidth="1"/>
    <col min="676" max="676" width="4" bestFit="1" customWidth="1"/>
    <col min="677" max="677" width="5" bestFit="1" customWidth="1"/>
    <col min="678" max="679" width="4" bestFit="1" customWidth="1"/>
    <col min="680" max="681" width="5" bestFit="1" customWidth="1"/>
    <col min="682" max="682" width="4" bestFit="1" customWidth="1"/>
    <col min="683" max="687" width="5" bestFit="1" customWidth="1"/>
    <col min="688" max="689" width="4" bestFit="1" customWidth="1"/>
    <col min="690" max="690" width="6" bestFit="1" customWidth="1"/>
    <col min="691" max="691" width="5" bestFit="1" customWidth="1"/>
    <col min="692" max="692" width="4" bestFit="1" customWidth="1"/>
    <col min="693" max="693" width="5" bestFit="1" customWidth="1"/>
    <col min="694" max="694" width="6" bestFit="1" customWidth="1"/>
    <col min="695" max="697" width="4" bestFit="1" customWidth="1"/>
    <col min="698" max="698" width="5" bestFit="1" customWidth="1"/>
    <col min="699" max="700" width="4" bestFit="1" customWidth="1"/>
    <col min="701" max="701" width="5" bestFit="1" customWidth="1"/>
    <col min="702" max="702" width="4" bestFit="1" customWidth="1"/>
    <col min="703" max="705" width="5" bestFit="1" customWidth="1"/>
    <col min="706" max="706" width="4" bestFit="1" customWidth="1"/>
    <col min="707" max="707" width="6" bestFit="1" customWidth="1"/>
    <col min="708" max="708" width="5" bestFit="1" customWidth="1"/>
    <col min="709" max="709" width="6" bestFit="1" customWidth="1"/>
    <col min="710" max="712" width="4" bestFit="1" customWidth="1"/>
    <col min="713" max="713" width="5" bestFit="1" customWidth="1"/>
    <col min="714" max="715" width="4" bestFit="1" customWidth="1"/>
    <col min="716" max="716" width="5" bestFit="1" customWidth="1"/>
    <col min="717" max="717" width="4" bestFit="1" customWidth="1"/>
    <col min="718" max="718" width="5" bestFit="1" customWidth="1"/>
    <col min="719" max="719" width="4" bestFit="1" customWidth="1"/>
    <col min="720" max="721" width="5" bestFit="1" customWidth="1"/>
    <col min="722" max="722" width="4" bestFit="1" customWidth="1"/>
    <col min="723" max="725" width="5" bestFit="1" customWidth="1"/>
    <col min="726" max="727" width="4" bestFit="1" customWidth="1"/>
    <col min="728" max="729" width="5" bestFit="1" customWidth="1"/>
    <col min="730" max="730" width="6" bestFit="1" customWidth="1"/>
    <col min="731" max="731" width="4" bestFit="1" customWidth="1"/>
    <col min="732" max="732" width="5" bestFit="1" customWidth="1"/>
    <col min="733" max="733" width="4" bestFit="1" customWidth="1"/>
    <col min="734" max="735" width="6" bestFit="1" customWidth="1"/>
    <col min="736" max="736" width="4" bestFit="1" customWidth="1"/>
    <col min="737" max="737" width="6" bestFit="1" customWidth="1"/>
    <col min="738" max="740" width="4" bestFit="1" customWidth="1"/>
    <col min="741" max="744" width="5" bestFit="1" customWidth="1"/>
    <col min="745" max="746" width="4" bestFit="1" customWidth="1"/>
    <col min="747" max="747" width="5" bestFit="1" customWidth="1"/>
    <col min="748" max="749" width="4" bestFit="1" customWidth="1"/>
    <col min="750" max="750" width="6" bestFit="1" customWidth="1"/>
    <col min="751" max="751" width="4" bestFit="1" customWidth="1"/>
    <col min="752" max="753" width="5" bestFit="1" customWidth="1"/>
    <col min="754" max="754" width="4" bestFit="1" customWidth="1"/>
    <col min="755" max="756" width="5" bestFit="1" customWidth="1"/>
    <col min="757" max="757" width="4" bestFit="1" customWidth="1"/>
    <col min="758" max="759" width="5" bestFit="1" customWidth="1"/>
    <col min="760" max="760" width="4" bestFit="1" customWidth="1"/>
    <col min="761" max="761" width="5" bestFit="1" customWidth="1"/>
    <col min="762" max="763" width="4" bestFit="1" customWidth="1"/>
    <col min="764" max="765" width="5" bestFit="1" customWidth="1"/>
    <col min="766" max="766" width="7" bestFit="1" customWidth="1"/>
    <col min="767" max="769" width="5" bestFit="1" customWidth="1"/>
    <col min="770" max="771" width="4" bestFit="1" customWidth="1"/>
    <col min="772" max="772" width="5" bestFit="1" customWidth="1"/>
    <col min="773" max="773" width="6" bestFit="1" customWidth="1"/>
    <col min="774" max="774" width="5" bestFit="1" customWidth="1"/>
    <col min="775" max="775" width="4" bestFit="1" customWidth="1"/>
    <col min="776" max="776" width="5" bestFit="1" customWidth="1"/>
    <col min="777" max="778" width="4" bestFit="1" customWidth="1"/>
    <col min="779" max="779" width="5" bestFit="1" customWidth="1"/>
    <col min="780" max="782" width="4" bestFit="1" customWidth="1"/>
    <col min="783" max="783" width="6" bestFit="1" customWidth="1"/>
    <col min="784" max="784" width="4" bestFit="1" customWidth="1"/>
    <col min="785" max="785" width="5" bestFit="1" customWidth="1"/>
    <col min="786" max="786" width="4" bestFit="1" customWidth="1"/>
    <col min="787" max="787" width="5" bestFit="1" customWidth="1"/>
    <col min="788" max="790" width="4" bestFit="1" customWidth="1"/>
    <col min="791" max="792" width="5" bestFit="1" customWidth="1"/>
    <col min="793" max="793" width="4" bestFit="1" customWidth="1"/>
    <col min="794" max="795" width="5" bestFit="1" customWidth="1"/>
    <col min="796" max="796" width="4" bestFit="1" customWidth="1"/>
    <col min="797" max="797" width="5" bestFit="1" customWidth="1"/>
    <col min="798" max="799" width="4" bestFit="1" customWidth="1"/>
    <col min="800" max="800" width="7" bestFit="1" customWidth="1"/>
    <col min="801" max="801" width="5" bestFit="1" customWidth="1"/>
    <col min="802" max="802" width="4" bestFit="1" customWidth="1"/>
    <col min="803" max="803" width="5" bestFit="1" customWidth="1"/>
    <col min="804" max="805" width="4" bestFit="1" customWidth="1"/>
    <col min="806" max="806" width="5" bestFit="1" customWidth="1"/>
    <col min="807" max="810" width="4" bestFit="1" customWidth="1"/>
    <col min="811" max="811" width="6" bestFit="1" customWidth="1"/>
    <col min="812" max="815" width="4" bestFit="1" customWidth="1"/>
    <col min="816" max="816" width="5" bestFit="1" customWidth="1"/>
    <col min="817" max="817" width="4" bestFit="1" customWidth="1"/>
    <col min="818" max="818" width="5" bestFit="1" customWidth="1"/>
    <col min="819" max="820" width="4" bestFit="1" customWidth="1"/>
    <col min="821" max="821" width="5" bestFit="1" customWidth="1"/>
    <col min="822" max="822" width="4" bestFit="1" customWidth="1"/>
    <col min="823" max="823" width="5" bestFit="1" customWidth="1"/>
    <col min="824" max="828" width="4" bestFit="1" customWidth="1"/>
    <col min="829" max="829" width="5" bestFit="1" customWidth="1"/>
    <col min="830" max="830" width="4" bestFit="1" customWidth="1"/>
    <col min="831" max="831" width="5" bestFit="1" customWidth="1"/>
    <col min="832" max="832" width="4" bestFit="1" customWidth="1"/>
    <col min="833" max="833" width="5" bestFit="1" customWidth="1"/>
    <col min="834" max="834" width="4" bestFit="1" customWidth="1"/>
    <col min="835" max="837" width="5" bestFit="1" customWidth="1"/>
    <col min="838" max="838" width="4" bestFit="1" customWidth="1"/>
    <col min="839" max="839" width="6" bestFit="1" customWidth="1"/>
    <col min="840" max="840" width="4" bestFit="1" customWidth="1"/>
    <col min="841" max="841" width="5" bestFit="1" customWidth="1"/>
    <col min="842" max="844" width="4" bestFit="1" customWidth="1"/>
    <col min="845" max="845" width="5" bestFit="1" customWidth="1"/>
    <col min="846" max="846" width="4" bestFit="1" customWidth="1"/>
    <col min="847" max="847" width="6" bestFit="1" customWidth="1"/>
    <col min="848" max="850" width="4" bestFit="1" customWidth="1"/>
    <col min="851" max="854" width="5" bestFit="1" customWidth="1"/>
    <col min="855" max="855" width="4" bestFit="1" customWidth="1"/>
    <col min="856" max="856" width="5" bestFit="1" customWidth="1"/>
    <col min="857" max="859" width="4" bestFit="1" customWidth="1"/>
    <col min="860" max="861" width="5" bestFit="1" customWidth="1"/>
    <col min="862" max="862" width="4" bestFit="1" customWidth="1"/>
    <col min="863" max="863" width="5" bestFit="1" customWidth="1"/>
    <col min="864" max="864" width="4" bestFit="1" customWidth="1"/>
    <col min="865" max="865" width="6" bestFit="1" customWidth="1"/>
    <col min="866" max="868" width="4" bestFit="1" customWidth="1"/>
    <col min="869" max="869" width="5" bestFit="1" customWidth="1"/>
    <col min="870" max="873" width="4" bestFit="1" customWidth="1"/>
    <col min="874" max="878" width="5" bestFit="1" customWidth="1"/>
    <col min="879" max="879" width="4" bestFit="1" customWidth="1"/>
    <col min="880" max="880" width="6" bestFit="1" customWidth="1"/>
    <col min="881" max="882" width="4" bestFit="1" customWidth="1"/>
    <col min="883" max="883" width="5" bestFit="1" customWidth="1"/>
    <col min="884" max="884" width="4" bestFit="1" customWidth="1"/>
    <col min="885" max="885" width="5" bestFit="1" customWidth="1"/>
    <col min="886" max="888" width="4" bestFit="1" customWidth="1"/>
    <col min="889" max="889" width="5" bestFit="1" customWidth="1"/>
    <col min="890" max="891" width="4" bestFit="1" customWidth="1"/>
    <col min="892" max="893" width="5" bestFit="1" customWidth="1"/>
    <col min="894" max="894" width="4" bestFit="1" customWidth="1"/>
    <col min="895" max="895" width="5" bestFit="1" customWidth="1"/>
    <col min="896" max="896" width="4" bestFit="1" customWidth="1"/>
    <col min="897" max="898" width="5" bestFit="1" customWidth="1"/>
    <col min="899" max="905" width="4" bestFit="1" customWidth="1"/>
    <col min="906" max="906" width="6" bestFit="1" customWidth="1"/>
    <col min="907" max="908" width="5" bestFit="1" customWidth="1"/>
    <col min="909" max="914" width="4" bestFit="1" customWidth="1"/>
    <col min="915" max="916" width="5" bestFit="1" customWidth="1"/>
    <col min="917" max="917" width="11.28515625" bestFit="1" customWidth="1"/>
  </cols>
  <sheetData>
    <row r="1" spans="1:16" x14ac:dyDescent="0.25">
      <c r="A1" t="s">
        <v>1004</v>
      </c>
      <c r="B1" t="s">
        <v>1003</v>
      </c>
      <c r="C1" t="s">
        <v>1005</v>
      </c>
      <c r="D1" t="s">
        <v>1006</v>
      </c>
      <c r="E1" t="s">
        <v>1007</v>
      </c>
      <c r="F1" t="s">
        <v>1008</v>
      </c>
      <c r="G1" t="s">
        <v>1009</v>
      </c>
      <c r="H1" t="s">
        <v>1010</v>
      </c>
      <c r="I1" t="s">
        <v>1011</v>
      </c>
      <c r="J1" t="s">
        <v>1012</v>
      </c>
      <c r="K1" t="s">
        <v>1013</v>
      </c>
      <c r="L1" t="s">
        <v>1014</v>
      </c>
      <c r="M1" t="s">
        <v>1015</v>
      </c>
      <c r="N1" t="s">
        <v>1016</v>
      </c>
      <c r="O1" t="s">
        <v>1017</v>
      </c>
      <c r="P1" t="s">
        <v>2881</v>
      </c>
    </row>
    <row r="2" spans="1:16" x14ac:dyDescent="0.25">
      <c r="A2" t="s">
        <v>1699</v>
      </c>
      <c r="B2" t="s">
        <v>166</v>
      </c>
      <c r="C2" s="3">
        <v>45196</v>
      </c>
      <c r="D2" t="s">
        <v>1019</v>
      </c>
      <c r="F2" t="s">
        <v>1020</v>
      </c>
      <c r="G2">
        <v>1</v>
      </c>
      <c r="H2" t="s">
        <v>1021</v>
      </c>
      <c r="I2" t="s">
        <v>1021</v>
      </c>
      <c r="J2">
        <v>1069883</v>
      </c>
      <c r="K2">
        <v>8</v>
      </c>
      <c r="L2" t="s">
        <v>1022</v>
      </c>
      <c r="M2">
        <v>2222734</v>
      </c>
      <c r="N2">
        <v>353025</v>
      </c>
      <c r="O2">
        <v>2575759</v>
      </c>
      <c r="P2" t="s">
        <v>2882</v>
      </c>
    </row>
    <row r="3" spans="1:16" x14ac:dyDescent="0.25">
      <c r="A3" t="s">
        <v>1018</v>
      </c>
      <c r="B3" t="s">
        <v>234</v>
      </c>
      <c r="C3" s="3">
        <v>41464</v>
      </c>
      <c r="D3" t="s">
        <v>1019</v>
      </c>
      <c r="F3" t="s">
        <v>1020</v>
      </c>
      <c r="H3" t="s">
        <v>1021</v>
      </c>
      <c r="I3" t="s">
        <v>1021</v>
      </c>
      <c r="J3">
        <v>705245</v>
      </c>
      <c r="K3">
        <v>8</v>
      </c>
      <c r="L3" t="s">
        <v>1022</v>
      </c>
      <c r="M3">
        <v>733097</v>
      </c>
      <c r="N3">
        <v>99999</v>
      </c>
      <c r="O3">
        <v>833096</v>
      </c>
      <c r="P3" t="s">
        <v>2882</v>
      </c>
    </row>
    <row r="4" spans="1:16" x14ac:dyDescent="0.25">
      <c r="A4" t="s">
        <v>2075</v>
      </c>
      <c r="B4" t="s">
        <v>621</v>
      </c>
      <c r="C4" s="3">
        <v>46212</v>
      </c>
      <c r="D4" t="s">
        <v>1024</v>
      </c>
      <c r="E4">
        <v>29.99</v>
      </c>
      <c r="F4" t="s">
        <v>1042</v>
      </c>
      <c r="G4">
        <v>75</v>
      </c>
      <c r="H4" t="s">
        <v>2076</v>
      </c>
      <c r="I4" t="s">
        <v>2076</v>
      </c>
      <c r="J4">
        <v>641309</v>
      </c>
      <c r="K4">
        <v>9</v>
      </c>
      <c r="L4" t="s">
        <v>2077</v>
      </c>
      <c r="M4">
        <v>175716</v>
      </c>
      <c r="N4">
        <v>8174</v>
      </c>
      <c r="O4">
        <v>183890</v>
      </c>
      <c r="P4" t="s">
        <v>2883</v>
      </c>
    </row>
    <row r="5" spans="1:16" x14ac:dyDescent="0.25">
      <c r="A5" t="s">
        <v>2696</v>
      </c>
      <c r="B5" t="s">
        <v>669</v>
      </c>
      <c r="C5" s="3">
        <v>43090</v>
      </c>
      <c r="D5" t="s">
        <v>1019</v>
      </c>
      <c r="F5" t="s">
        <v>1020</v>
      </c>
      <c r="G5">
        <v>37</v>
      </c>
      <c r="H5" t="s">
        <v>2697</v>
      </c>
      <c r="I5" t="s">
        <v>1547</v>
      </c>
      <c r="J5">
        <v>275556</v>
      </c>
      <c r="K5">
        <v>5</v>
      </c>
      <c r="L5" t="s">
        <v>2514</v>
      </c>
      <c r="M5">
        <v>296924</v>
      </c>
      <c r="N5">
        <v>151099</v>
      </c>
      <c r="O5">
        <v>448023</v>
      </c>
      <c r="P5" t="s">
        <v>2882</v>
      </c>
    </row>
    <row r="6" spans="1:16" x14ac:dyDescent="0.25">
      <c r="A6" t="s">
        <v>2698</v>
      </c>
      <c r="B6" t="s">
        <v>831</v>
      </c>
      <c r="C6" s="3">
        <v>46169</v>
      </c>
      <c r="D6" t="s">
        <v>1019</v>
      </c>
      <c r="F6" t="s">
        <v>1020</v>
      </c>
      <c r="G6">
        <v>56</v>
      </c>
      <c r="H6" t="s">
        <v>2699</v>
      </c>
      <c r="I6" t="s">
        <v>2699</v>
      </c>
      <c r="J6">
        <v>234374</v>
      </c>
      <c r="K6">
        <v>5</v>
      </c>
      <c r="L6" t="s">
        <v>2514</v>
      </c>
      <c r="M6">
        <v>4306</v>
      </c>
      <c r="N6">
        <v>2689</v>
      </c>
      <c r="O6">
        <v>6995</v>
      </c>
      <c r="P6" t="s">
        <v>2882</v>
      </c>
    </row>
    <row r="7" spans="1:16" x14ac:dyDescent="0.25">
      <c r="A7" t="s">
        <v>1023</v>
      </c>
      <c r="B7" t="s">
        <v>334</v>
      </c>
      <c r="C7" s="3"/>
      <c r="D7" t="s">
        <v>1024</v>
      </c>
      <c r="F7" t="s">
        <v>2892</v>
      </c>
      <c r="H7" t="s">
        <v>1002</v>
      </c>
      <c r="I7" t="s">
        <v>1002</v>
      </c>
      <c r="J7">
        <v>171838</v>
      </c>
      <c r="K7">
        <v>8</v>
      </c>
      <c r="L7" t="s">
        <v>1022</v>
      </c>
      <c r="M7">
        <v>98</v>
      </c>
      <c r="N7">
        <v>4</v>
      </c>
      <c r="O7">
        <v>102</v>
      </c>
      <c r="P7" t="s">
        <v>2883</v>
      </c>
    </row>
    <row r="8" spans="1:16" x14ac:dyDescent="0.25">
      <c r="A8" t="s">
        <v>2700</v>
      </c>
      <c r="B8" t="s">
        <v>100</v>
      </c>
      <c r="C8" s="3">
        <v>45721</v>
      </c>
      <c r="D8" t="s">
        <v>1019</v>
      </c>
      <c r="F8" t="s">
        <v>1020</v>
      </c>
      <c r="G8">
        <v>28</v>
      </c>
      <c r="H8" t="s">
        <v>2701</v>
      </c>
      <c r="I8" t="s">
        <v>1736</v>
      </c>
      <c r="J8">
        <v>161822</v>
      </c>
      <c r="K8">
        <v>9</v>
      </c>
      <c r="L8" t="s">
        <v>2077</v>
      </c>
      <c r="M8">
        <v>26821</v>
      </c>
      <c r="N8">
        <v>955</v>
      </c>
      <c r="O8">
        <v>27776</v>
      </c>
      <c r="P8" t="s">
        <v>2882</v>
      </c>
    </row>
    <row r="9" spans="1:16" x14ac:dyDescent="0.25">
      <c r="A9" t="s">
        <v>1663</v>
      </c>
      <c r="B9" t="s">
        <v>716</v>
      </c>
      <c r="C9" s="3">
        <v>43139</v>
      </c>
      <c r="D9" t="s">
        <v>1024</v>
      </c>
      <c r="E9">
        <v>39.99</v>
      </c>
      <c r="F9" t="s">
        <v>1042</v>
      </c>
      <c r="G9">
        <v>102</v>
      </c>
      <c r="H9" t="s">
        <v>1664</v>
      </c>
      <c r="I9" t="s">
        <v>1664</v>
      </c>
      <c r="J9">
        <v>137474</v>
      </c>
      <c r="K9">
        <v>8</v>
      </c>
      <c r="L9" t="s">
        <v>1022</v>
      </c>
      <c r="M9">
        <v>540008</v>
      </c>
      <c r="N9">
        <v>86774</v>
      </c>
      <c r="O9">
        <v>626782</v>
      </c>
      <c r="P9" t="s">
        <v>2883</v>
      </c>
    </row>
    <row r="10" spans="1:16" x14ac:dyDescent="0.25">
      <c r="A10" t="s">
        <v>2512</v>
      </c>
      <c r="B10" t="s">
        <v>261</v>
      </c>
      <c r="C10" s="3">
        <v>45925</v>
      </c>
      <c r="D10" t="s">
        <v>1024</v>
      </c>
      <c r="E10">
        <v>89.99</v>
      </c>
      <c r="F10" t="s">
        <v>1086</v>
      </c>
      <c r="G10">
        <v>43</v>
      </c>
      <c r="H10" t="s">
        <v>2513</v>
      </c>
      <c r="I10" t="s">
        <v>1035</v>
      </c>
      <c r="J10">
        <v>126730</v>
      </c>
      <c r="K10">
        <v>5</v>
      </c>
      <c r="L10" t="s">
        <v>2514</v>
      </c>
      <c r="M10">
        <v>13693</v>
      </c>
      <c r="N10">
        <v>13585</v>
      </c>
      <c r="O10">
        <v>27278</v>
      </c>
      <c r="P10" t="s">
        <v>2883</v>
      </c>
    </row>
    <row r="11" spans="1:16" x14ac:dyDescent="0.25">
      <c r="A11" t="s">
        <v>2078</v>
      </c>
      <c r="B11" t="s">
        <v>841</v>
      </c>
      <c r="C11" s="3">
        <v>41947</v>
      </c>
      <c r="D11" t="s">
        <v>1024</v>
      </c>
      <c r="E11">
        <v>14.99</v>
      </c>
      <c r="F11" t="s">
        <v>1189</v>
      </c>
      <c r="G11">
        <v>641</v>
      </c>
      <c r="H11" t="s">
        <v>2079</v>
      </c>
      <c r="I11" t="s">
        <v>2079</v>
      </c>
      <c r="J11">
        <v>97795</v>
      </c>
      <c r="K11">
        <v>9</v>
      </c>
      <c r="L11" t="s">
        <v>2077</v>
      </c>
      <c r="M11">
        <v>166336</v>
      </c>
      <c r="N11">
        <v>5060</v>
      </c>
      <c r="O11">
        <v>171396</v>
      </c>
      <c r="P11" t="s">
        <v>2883</v>
      </c>
    </row>
    <row r="12" spans="1:16" x14ac:dyDescent="0.25">
      <c r="A12" t="s">
        <v>1781</v>
      </c>
      <c r="B12" t="s">
        <v>384</v>
      </c>
      <c r="C12" s="3">
        <v>42107</v>
      </c>
      <c r="D12" t="s">
        <v>1024</v>
      </c>
      <c r="F12" t="s">
        <v>1113</v>
      </c>
      <c r="G12">
        <v>77</v>
      </c>
      <c r="H12" t="s">
        <v>1266</v>
      </c>
      <c r="I12" t="s">
        <v>1185</v>
      </c>
      <c r="J12">
        <v>89897</v>
      </c>
      <c r="K12">
        <v>8</v>
      </c>
      <c r="L12" t="s">
        <v>1022</v>
      </c>
      <c r="M12">
        <v>539852</v>
      </c>
      <c r="N12">
        <v>105428</v>
      </c>
      <c r="O12">
        <v>645280</v>
      </c>
      <c r="P12" t="s">
        <v>2883</v>
      </c>
    </row>
    <row r="13" spans="1:16" x14ac:dyDescent="0.25">
      <c r="A13" t="s">
        <v>2703</v>
      </c>
      <c r="B13" t="s">
        <v>509</v>
      </c>
      <c r="C13" s="3">
        <v>45631</v>
      </c>
      <c r="D13" t="s">
        <v>1019</v>
      </c>
      <c r="F13" t="s">
        <v>1020</v>
      </c>
      <c r="G13">
        <v>49</v>
      </c>
      <c r="H13" t="s">
        <v>1788</v>
      </c>
      <c r="I13" t="s">
        <v>1788</v>
      </c>
      <c r="J13">
        <v>86292</v>
      </c>
      <c r="K13">
        <v>6</v>
      </c>
      <c r="L13" t="s">
        <v>2338</v>
      </c>
      <c r="M13">
        <v>224486</v>
      </c>
      <c r="N13">
        <v>66269</v>
      </c>
      <c r="O13">
        <v>290755</v>
      </c>
      <c r="P13" t="s">
        <v>2882</v>
      </c>
    </row>
    <row r="14" spans="1:16" x14ac:dyDescent="0.25">
      <c r="A14" t="s">
        <v>2702</v>
      </c>
      <c r="B14" t="s">
        <v>28</v>
      </c>
      <c r="C14" s="3">
        <v>44139</v>
      </c>
      <c r="D14" t="s">
        <v>1019</v>
      </c>
      <c r="F14" t="s">
        <v>1020</v>
      </c>
      <c r="G14">
        <v>12</v>
      </c>
      <c r="H14" t="s">
        <v>2565</v>
      </c>
      <c r="I14" t="s">
        <v>1035</v>
      </c>
      <c r="J14">
        <v>82358</v>
      </c>
      <c r="K14">
        <v>6</v>
      </c>
      <c r="L14" t="s">
        <v>2338</v>
      </c>
      <c r="M14">
        <v>341829</v>
      </c>
      <c r="N14">
        <v>104400</v>
      </c>
      <c r="O14">
        <v>446229</v>
      </c>
      <c r="P14" t="s">
        <v>2882</v>
      </c>
    </row>
    <row r="15" spans="1:16" x14ac:dyDescent="0.25">
      <c r="A15" t="s">
        <v>2337</v>
      </c>
      <c r="B15" t="s">
        <v>383</v>
      </c>
      <c r="C15" s="3">
        <v>45720</v>
      </c>
      <c r="D15" t="s">
        <v>1024</v>
      </c>
      <c r="E15">
        <v>29.99</v>
      </c>
      <c r="F15" t="s">
        <v>1178</v>
      </c>
      <c r="G15">
        <v>77</v>
      </c>
      <c r="H15" t="s">
        <v>1266</v>
      </c>
      <c r="I15" t="s">
        <v>1185</v>
      </c>
      <c r="J15">
        <v>80142</v>
      </c>
      <c r="K15">
        <v>6</v>
      </c>
      <c r="L15" t="s">
        <v>2338</v>
      </c>
      <c r="M15">
        <v>59804</v>
      </c>
      <c r="N15">
        <v>15258</v>
      </c>
      <c r="O15">
        <v>75062</v>
      </c>
      <c r="P15" t="s">
        <v>2883</v>
      </c>
    </row>
    <row r="16" spans="1:16" x14ac:dyDescent="0.25">
      <c r="A16" t="s">
        <v>2339</v>
      </c>
      <c r="B16" t="s">
        <v>196</v>
      </c>
      <c r="C16" s="3">
        <v>42535</v>
      </c>
      <c r="D16" t="s">
        <v>1024</v>
      </c>
      <c r="E16">
        <v>19.989999999999998</v>
      </c>
      <c r="F16" t="s">
        <v>1189</v>
      </c>
      <c r="G16">
        <v>303</v>
      </c>
      <c r="H16" t="s">
        <v>2340</v>
      </c>
      <c r="I16" t="s">
        <v>2340</v>
      </c>
      <c r="J16">
        <v>72787</v>
      </c>
      <c r="K16">
        <v>6</v>
      </c>
      <c r="L16" t="s">
        <v>2338</v>
      </c>
      <c r="M16">
        <v>290087</v>
      </c>
      <c r="N16">
        <v>79176</v>
      </c>
      <c r="O16">
        <v>369263</v>
      </c>
      <c r="P16" t="s">
        <v>2883</v>
      </c>
    </row>
    <row r="17" spans="1:16" x14ac:dyDescent="0.25">
      <c r="A17" t="s">
        <v>2080</v>
      </c>
      <c r="B17" t="s">
        <v>941</v>
      </c>
      <c r="C17" s="3">
        <v>43420</v>
      </c>
      <c r="D17" t="s">
        <v>1024</v>
      </c>
      <c r="E17">
        <v>4.99</v>
      </c>
      <c r="F17" t="s">
        <v>1067</v>
      </c>
      <c r="G17">
        <v>17</v>
      </c>
      <c r="H17" t="s">
        <v>2081</v>
      </c>
      <c r="I17" t="s">
        <v>2081</v>
      </c>
      <c r="J17">
        <v>67312</v>
      </c>
      <c r="K17">
        <v>9</v>
      </c>
      <c r="L17" t="s">
        <v>2077</v>
      </c>
      <c r="M17">
        <v>246955</v>
      </c>
      <c r="N17">
        <v>5173</v>
      </c>
      <c r="O17">
        <v>252128</v>
      </c>
      <c r="P17" t="s">
        <v>2883</v>
      </c>
    </row>
    <row r="18" spans="1:16" x14ac:dyDescent="0.25">
      <c r="A18" t="s">
        <v>1782</v>
      </c>
      <c r="B18" t="s">
        <v>947</v>
      </c>
      <c r="C18" s="3">
        <v>41358</v>
      </c>
      <c r="D18" t="s">
        <v>1019</v>
      </c>
      <c r="F18" t="s">
        <v>1020</v>
      </c>
      <c r="G18">
        <v>193</v>
      </c>
      <c r="H18" t="s">
        <v>1783</v>
      </c>
      <c r="I18" t="s">
        <v>1783</v>
      </c>
      <c r="J18">
        <v>65746</v>
      </c>
      <c r="K18">
        <v>8</v>
      </c>
      <c r="L18" t="s">
        <v>1022</v>
      </c>
      <c r="M18">
        <v>273514</v>
      </c>
      <c r="N18">
        <v>24218</v>
      </c>
      <c r="O18">
        <v>297732</v>
      </c>
      <c r="P18" t="s">
        <v>2882</v>
      </c>
    </row>
    <row r="19" spans="1:16" x14ac:dyDescent="0.25">
      <c r="A19" t="s">
        <v>1207</v>
      </c>
      <c r="B19" t="s">
        <v>364</v>
      </c>
      <c r="C19" s="3">
        <v>41995</v>
      </c>
      <c r="D19" t="s">
        <v>1024</v>
      </c>
      <c r="E19">
        <v>4.99</v>
      </c>
      <c r="F19" t="s">
        <v>1208</v>
      </c>
      <c r="G19">
        <v>547</v>
      </c>
      <c r="H19" t="s">
        <v>1209</v>
      </c>
      <c r="I19" t="s">
        <v>1209</v>
      </c>
      <c r="J19">
        <v>61549</v>
      </c>
      <c r="K19">
        <v>8</v>
      </c>
      <c r="L19" t="s">
        <v>1022</v>
      </c>
      <c r="M19">
        <v>290225</v>
      </c>
      <c r="N19">
        <v>20030</v>
      </c>
      <c r="O19">
        <v>310255</v>
      </c>
      <c r="P19" t="s">
        <v>2883</v>
      </c>
    </row>
    <row r="20" spans="1:16" x14ac:dyDescent="0.25">
      <c r="A20" t="s">
        <v>2082</v>
      </c>
      <c r="B20" t="s">
        <v>794</v>
      </c>
      <c r="C20" s="3">
        <v>42426</v>
      </c>
      <c r="D20" t="s">
        <v>1024</v>
      </c>
      <c r="E20">
        <v>14.99</v>
      </c>
      <c r="F20" t="s">
        <v>1110</v>
      </c>
      <c r="G20">
        <v>49</v>
      </c>
      <c r="H20" t="s">
        <v>2083</v>
      </c>
      <c r="I20" t="s">
        <v>2083</v>
      </c>
      <c r="J20">
        <v>59392</v>
      </c>
      <c r="K20">
        <v>9</v>
      </c>
      <c r="L20" t="s">
        <v>2077</v>
      </c>
      <c r="M20">
        <v>456868</v>
      </c>
      <c r="N20">
        <v>5325</v>
      </c>
      <c r="O20">
        <v>462193</v>
      </c>
      <c r="P20" t="s">
        <v>2883</v>
      </c>
    </row>
    <row r="21" spans="1:16" x14ac:dyDescent="0.25">
      <c r="A21" t="s">
        <v>1784</v>
      </c>
      <c r="B21" t="s">
        <v>833</v>
      </c>
      <c r="C21" s="3">
        <v>39365</v>
      </c>
      <c r="D21" t="s">
        <v>1019</v>
      </c>
      <c r="F21" t="s">
        <v>1020</v>
      </c>
      <c r="G21">
        <v>520</v>
      </c>
      <c r="H21" t="s">
        <v>1021</v>
      </c>
      <c r="I21" t="s">
        <v>1021</v>
      </c>
      <c r="J21">
        <v>59187</v>
      </c>
      <c r="K21">
        <v>8</v>
      </c>
      <c r="L21" t="s">
        <v>1022</v>
      </c>
      <c r="M21">
        <v>664231</v>
      </c>
      <c r="N21">
        <v>74295</v>
      </c>
      <c r="O21">
        <v>738526</v>
      </c>
      <c r="P21" t="s">
        <v>2882</v>
      </c>
    </row>
    <row r="22" spans="1:16" x14ac:dyDescent="0.25">
      <c r="A22" t="s">
        <v>1025</v>
      </c>
      <c r="B22" t="s">
        <v>755</v>
      </c>
      <c r="C22" s="3">
        <v>46086</v>
      </c>
      <c r="D22" t="s">
        <v>1024</v>
      </c>
      <c r="E22">
        <v>24.99</v>
      </c>
      <c r="F22" t="s">
        <v>1026</v>
      </c>
      <c r="H22" t="s">
        <v>1027</v>
      </c>
      <c r="I22" t="s">
        <v>1027</v>
      </c>
      <c r="J22">
        <v>59167</v>
      </c>
      <c r="K22">
        <v>8</v>
      </c>
      <c r="L22" t="s">
        <v>1022</v>
      </c>
      <c r="M22">
        <v>65333</v>
      </c>
      <c r="N22">
        <v>5666</v>
      </c>
      <c r="O22">
        <v>70999</v>
      </c>
      <c r="P22" t="s">
        <v>2883</v>
      </c>
    </row>
    <row r="23" spans="1:16" x14ac:dyDescent="0.25">
      <c r="A23" t="s">
        <v>1785</v>
      </c>
      <c r="B23" t="s">
        <v>897</v>
      </c>
      <c r="C23" s="3">
        <v>42339</v>
      </c>
      <c r="D23" t="s">
        <v>1019</v>
      </c>
      <c r="F23" t="s">
        <v>1020</v>
      </c>
      <c r="G23">
        <v>48</v>
      </c>
      <c r="H23" t="s">
        <v>1345</v>
      </c>
      <c r="I23" t="s">
        <v>1212</v>
      </c>
      <c r="J23">
        <v>58825</v>
      </c>
      <c r="K23">
        <v>8</v>
      </c>
      <c r="L23" t="s">
        <v>1022</v>
      </c>
      <c r="M23">
        <v>653412</v>
      </c>
      <c r="N23">
        <v>141775</v>
      </c>
      <c r="O23">
        <v>795187</v>
      </c>
      <c r="P23" t="s">
        <v>2882</v>
      </c>
    </row>
    <row r="24" spans="1:16" x14ac:dyDescent="0.25">
      <c r="A24" t="s">
        <v>2707</v>
      </c>
      <c r="B24" t="s">
        <v>945</v>
      </c>
      <c r="C24" s="3">
        <v>41501</v>
      </c>
      <c r="D24" t="s">
        <v>1019</v>
      </c>
      <c r="F24" t="s">
        <v>1020</v>
      </c>
      <c r="G24">
        <v>91</v>
      </c>
      <c r="H24" t="s">
        <v>2708</v>
      </c>
      <c r="I24" t="s">
        <v>2709</v>
      </c>
      <c r="J24">
        <v>56360</v>
      </c>
      <c r="K24">
        <v>6</v>
      </c>
      <c r="L24" t="s">
        <v>2338</v>
      </c>
      <c r="M24">
        <v>231117</v>
      </c>
      <c r="N24">
        <v>89350</v>
      </c>
      <c r="O24">
        <v>320467</v>
      </c>
      <c r="P24" t="s">
        <v>2882</v>
      </c>
    </row>
    <row r="25" spans="1:16" x14ac:dyDescent="0.25">
      <c r="A25" t="s">
        <v>2704</v>
      </c>
      <c r="B25" t="s">
        <v>207</v>
      </c>
      <c r="C25" s="3">
        <v>45630</v>
      </c>
      <c r="D25" t="s">
        <v>1019</v>
      </c>
      <c r="F25" t="s">
        <v>1020</v>
      </c>
      <c r="G25">
        <v>53</v>
      </c>
      <c r="H25" t="s">
        <v>2705</v>
      </c>
      <c r="I25" t="s">
        <v>2706</v>
      </c>
      <c r="J25">
        <v>56127</v>
      </c>
      <c r="K25">
        <v>5</v>
      </c>
      <c r="L25" t="s">
        <v>2514</v>
      </c>
      <c r="M25">
        <v>44311</v>
      </c>
      <c r="N25">
        <v>23187</v>
      </c>
      <c r="O25">
        <v>67498</v>
      </c>
      <c r="P25" t="s">
        <v>2882</v>
      </c>
    </row>
    <row r="26" spans="1:16" x14ac:dyDescent="0.25">
      <c r="A26" t="s">
        <v>2084</v>
      </c>
      <c r="B26" t="s">
        <v>61</v>
      </c>
      <c r="C26" s="3">
        <v>45141</v>
      </c>
      <c r="D26" t="s">
        <v>1024</v>
      </c>
      <c r="E26">
        <v>59.99</v>
      </c>
      <c r="F26" t="s">
        <v>1047</v>
      </c>
      <c r="G26">
        <v>54</v>
      </c>
      <c r="H26" t="s">
        <v>1993</v>
      </c>
      <c r="I26" t="s">
        <v>1993</v>
      </c>
      <c r="J26">
        <v>54369</v>
      </c>
      <c r="K26">
        <v>9</v>
      </c>
      <c r="L26" t="s">
        <v>2077</v>
      </c>
      <c r="M26">
        <v>483967</v>
      </c>
      <c r="N26">
        <v>15918</v>
      </c>
      <c r="O26">
        <v>499885</v>
      </c>
      <c r="P26" t="s">
        <v>2883</v>
      </c>
    </row>
    <row r="27" spans="1:16" x14ac:dyDescent="0.25">
      <c r="A27" t="s">
        <v>2341</v>
      </c>
      <c r="B27" t="s">
        <v>193</v>
      </c>
      <c r="C27" s="3">
        <v>43447</v>
      </c>
      <c r="D27" t="s">
        <v>1024</v>
      </c>
      <c r="E27">
        <v>49.99</v>
      </c>
      <c r="F27" t="s">
        <v>1268</v>
      </c>
      <c r="G27">
        <v>13</v>
      </c>
      <c r="H27" t="s">
        <v>1629</v>
      </c>
      <c r="I27" t="s">
        <v>1629</v>
      </c>
      <c r="J27">
        <v>53734</v>
      </c>
      <c r="K27">
        <v>6</v>
      </c>
      <c r="L27" t="s">
        <v>2338</v>
      </c>
      <c r="M27">
        <v>155330</v>
      </c>
      <c r="N27">
        <v>54731</v>
      </c>
      <c r="O27">
        <v>210061</v>
      </c>
      <c r="P27" t="s">
        <v>2883</v>
      </c>
    </row>
    <row r="28" spans="1:16" x14ac:dyDescent="0.25">
      <c r="A28" t="s">
        <v>2342</v>
      </c>
      <c r="B28" t="s">
        <v>626</v>
      </c>
      <c r="C28" s="3">
        <v>45632</v>
      </c>
      <c r="D28" t="s">
        <v>1024</v>
      </c>
      <c r="E28">
        <v>29.99</v>
      </c>
      <c r="F28" t="s">
        <v>1026</v>
      </c>
      <c r="H28" t="s">
        <v>1803</v>
      </c>
      <c r="I28" t="s">
        <v>1803</v>
      </c>
      <c r="J28">
        <v>52181</v>
      </c>
      <c r="K28">
        <v>6</v>
      </c>
      <c r="L28" t="s">
        <v>2338</v>
      </c>
      <c r="M28">
        <v>98999</v>
      </c>
      <c r="N28">
        <v>32199</v>
      </c>
      <c r="O28">
        <v>131198</v>
      </c>
      <c r="P28" t="s">
        <v>2883</v>
      </c>
    </row>
    <row r="29" spans="1:16" x14ac:dyDescent="0.25">
      <c r="A29" t="s">
        <v>1665</v>
      </c>
      <c r="B29" t="s">
        <v>181</v>
      </c>
      <c r="C29" s="3">
        <v>44174</v>
      </c>
      <c r="D29" t="s">
        <v>1024</v>
      </c>
      <c r="E29">
        <v>59.99</v>
      </c>
      <c r="F29" t="s">
        <v>1042</v>
      </c>
      <c r="G29">
        <v>57</v>
      </c>
      <c r="H29" t="s">
        <v>1181</v>
      </c>
      <c r="I29" t="s">
        <v>1181</v>
      </c>
      <c r="J29">
        <v>51936</v>
      </c>
      <c r="K29">
        <v>8</v>
      </c>
      <c r="L29" t="s">
        <v>1022</v>
      </c>
      <c r="M29">
        <v>363797</v>
      </c>
      <c r="N29">
        <v>46022</v>
      </c>
      <c r="O29">
        <v>409819</v>
      </c>
      <c r="P29" t="s">
        <v>2883</v>
      </c>
    </row>
    <row r="30" spans="1:16" x14ac:dyDescent="0.25">
      <c r="A30" t="s">
        <v>1210</v>
      </c>
      <c r="B30" t="s">
        <v>42</v>
      </c>
      <c r="C30" s="3">
        <v>46212</v>
      </c>
      <c r="D30" t="s">
        <v>1024</v>
      </c>
      <c r="E30">
        <v>59.99</v>
      </c>
      <c r="F30" t="s">
        <v>1113</v>
      </c>
      <c r="G30">
        <v>49</v>
      </c>
      <c r="H30" t="s">
        <v>1211</v>
      </c>
      <c r="I30" t="s">
        <v>1212</v>
      </c>
      <c r="J30">
        <v>50655</v>
      </c>
      <c r="K30">
        <v>8</v>
      </c>
      <c r="L30" t="s">
        <v>1022</v>
      </c>
      <c r="M30">
        <v>8226</v>
      </c>
      <c r="N30">
        <v>1814</v>
      </c>
      <c r="O30">
        <v>10040</v>
      </c>
      <c r="P30" t="s">
        <v>2883</v>
      </c>
    </row>
    <row r="31" spans="1:16" x14ac:dyDescent="0.25">
      <c r="A31" t="s">
        <v>2710</v>
      </c>
      <c r="B31" t="s">
        <v>613</v>
      </c>
      <c r="C31" s="3">
        <v>45148</v>
      </c>
      <c r="D31" t="s">
        <v>1019</v>
      </c>
      <c r="F31" t="s">
        <v>1020</v>
      </c>
      <c r="G31">
        <v>164</v>
      </c>
      <c r="H31" t="s">
        <v>1942</v>
      </c>
      <c r="I31" t="s">
        <v>1942</v>
      </c>
      <c r="J31">
        <v>49388</v>
      </c>
      <c r="K31">
        <v>5</v>
      </c>
      <c r="L31" t="s">
        <v>2514</v>
      </c>
      <c r="M31">
        <v>65949</v>
      </c>
      <c r="N31">
        <v>98085</v>
      </c>
      <c r="O31">
        <v>164034</v>
      </c>
      <c r="P31" t="s">
        <v>2882</v>
      </c>
    </row>
    <row r="32" spans="1:16" x14ac:dyDescent="0.25">
      <c r="A32" t="s">
        <v>2085</v>
      </c>
      <c r="B32" t="s">
        <v>285</v>
      </c>
      <c r="C32" s="3">
        <v>41194</v>
      </c>
      <c r="D32" t="s">
        <v>1024</v>
      </c>
      <c r="E32">
        <v>19.989999999999998</v>
      </c>
      <c r="F32" t="s">
        <v>1110</v>
      </c>
      <c r="G32">
        <v>106</v>
      </c>
      <c r="H32" t="s">
        <v>2086</v>
      </c>
      <c r="I32" t="s">
        <v>2086</v>
      </c>
      <c r="J32">
        <v>47323</v>
      </c>
      <c r="K32">
        <v>9</v>
      </c>
      <c r="L32" t="s">
        <v>2077</v>
      </c>
      <c r="M32">
        <v>179914</v>
      </c>
      <c r="N32">
        <v>4664</v>
      </c>
      <c r="O32">
        <v>184578</v>
      </c>
      <c r="P32" t="s">
        <v>2883</v>
      </c>
    </row>
    <row r="33" spans="1:16" x14ac:dyDescent="0.25">
      <c r="A33" t="s">
        <v>2619</v>
      </c>
      <c r="B33" t="s">
        <v>939</v>
      </c>
      <c r="C33" s="3">
        <v>42767</v>
      </c>
      <c r="D33" t="s">
        <v>1019</v>
      </c>
      <c r="F33" t="s">
        <v>1026</v>
      </c>
      <c r="H33" t="s">
        <v>2620</v>
      </c>
      <c r="I33" t="s">
        <v>2620</v>
      </c>
      <c r="J33">
        <v>46796</v>
      </c>
      <c r="K33">
        <v>6</v>
      </c>
      <c r="L33" t="s">
        <v>2338</v>
      </c>
      <c r="M33">
        <v>125560</v>
      </c>
      <c r="N33">
        <v>50121</v>
      </c>
      <c r="O33">
        <v>175681</v>
      </c>
      <c r="P33" t="s">
        <v>2882</v>
      </c>
    </row>
    <row r="34" spans="1:16" x14ac:dyDescent="0.25">
      <c r="A34" t="s">
        <v>1896</v>
      </c>
      <c r="B34" t="s">
        <v>410</v>
      </c>
      <c r="C34" s="3">
        <v>42527</v>
      </c>
      <c r="D34" t="s">
        <v>1024</v>
      </c>
      <c r="E34">
        <v>49.99</v>
      </c>
      <c r="F34" t="s">
        <v>1047</v>
      </c>
      <c r="G34">
        <v>293</v>
      </c>
      <c r="H34" t="s">
        <v>1845</v>
      </c>
      <c r="I34" t="s">
        <v>1846</v>
      </c>
      <c r="J34">
        <v>46308</v>
      </c>
      <c r="K34">
        <v>8</v>
      </c>
      <c r="L34" t="s">
        <v>1022</v>
      </c>
      <c r="M34">
        <v>147982</v>
      </c>
      <c r="N34">
        <v>16023</v>
      </c>
      <c r="O34">
        <v>164005</v>
      </c>
      <c r="P34" t="s">
        <v>2883</v>
      </c>
    </row>
    <row r="35" spans="1:16" x14ac:dyDescent="0.25">
      <c r="A35" t="s">
        <v>1028</v>
      </c>
      <c r="B35" t="s">
        <v>516</v>
      </c>
      <c r="C35" s="3">
        <v>46182</v>
      </c>
      <c r="D35" t="s">
        <v>1024</v>
      </c>
      <c r="E35">
        <v>5.99</v>
      </c>
      <c r="F35" t="s">
        <v>1029</v>
      </c>
      <c r="H35" t="s">
        <v>1030</v>
      </c>
      <c r="I35" t="s">
        <v>1030</v>
      </c>
      <c r="J35">
        <v>46090</v>
      </c>
      <c r="K35">
        <v>8</v>
      </c>
      <c r="L35" t="s">
        <v>1022</v>
      </c>
      <c r="M35">
        <v>36591</v>
      </c>
      <c r="N35">
        <v>3585</v>
      </c>
      <c r="O35">
        <v>40176</v>
      </c>
      <c r="P35" t="s">
        <v>2883</v>
      </c>
    </row>
    <row r="36" spans="1:16" x14ac:dyDescent="0.25">
      <c r="A36" t="s">
        <v>1213</v>
      </c>
      <c r="B36" t="s">
        <v>317</v>
      </c>
      <c r="C36" s="3">
        <v>45608</v>
      </c>
      <c r="D36" t="s">
        <v>1024</v>
      </c>
      <c r="E36">
        <v>29.99</v>
      </c>
      <c r="F36" t="s">
        <v>1110</v>
      </c>
      <c r="G36">
        <v>45</v>
      </c>
      <c r="H36" t="s">
        <v>1214</v>
      </c>
      <c r="I36" t="s">
        <v>1214</v>
      </c>
      <c r="J36">
        <v>44059</v>
      </c>
      <c r="K36">
        <v>8</v>
      </c>
      <c r="L36" t="s">
        <v>1022</v>
      </c>
      <c r="M36">
        <v>16969</v>
      </c>
      <c r="N36">
        <v>2814</v>
      </c>
      <c r="O36">
        <v>19783</v>
      </c>
      <c r="P36" t="s">
        <v>2883</v>
      </c>
    </row>
    <row r="37" spans="1:16" x14ac:dyDescent="0.25">
      <c r="A37" t="s">
        <v>2517</v>
      </c>
      <c r="B37" t="s">
        <v>75</v>
      </c>
      <c r="C37" s="3">
        <v>45940</v>
      </c>
      <c r="D37" t="s">
        <v>1024</v>
      </c>
      <c r="E37">
        <v>69.989999999999995</v>
      </c>
      <c r="F37" t="s">
        <v>1189</v>
      </c>
      <c r="G37">
        <v>53</v>
      </c>
      <c r="H37" t="s">
        <v>2518</v>
      </c>
      <c r="I37" t="s">
        <v>1035</v>
      </c>
      <c r="J37">
        <v>43836</v>
      </c>
      <c r="K37">
        <v>5</v>
      </c>
      <c r="L37" t="s">
        <v>2514</v>
      </c>
      <c r="M37">
        <v>119195</v>
      </c>
      <c r="N37">
        <v>56599</v>
      </c>
      <c r="O37">
        <v>175794</v>
      </c>
      <c r="P37" t="s">
        <v>2883</v>
      </c>
    </row>
    <row r="38" spans="1:16" x14ac:dyDescent="0.25">
      <c r="A38" t="s">
        <v>2711</v>
      </c>
      <c r="B38" t="s">
        <v>211</v>
      </c>
      <c r="C38" s="3">
        <v>43739</v>
      </c>
      <c r="D38" t="s">
        <v>1019</v>
      </c>
      <c r="F38" t="s">
        <v>1020</v>
      </c>
      <c r="G38">
        <v>23</v>
      </c>
      <c r="H38" t="s">
        <v>1321</v>
      </c>
      <c r="I38" t="s">
        <v>1321</v>
      </c>
      <c r="J38">
        <v>42647</v>
      </c>
      <c r="K38">
        <v>6</v>
      </c>
      <c r="L38" t="s">
        <v>2338</v>
      </c>
      <c r="M38">
        <v>308029</v>
      </c>
      <c r="N38">
        <v>79953</v>
      </c>
      <c r="O38">
        <v>387982</v>
      </c>
      <c r="P38" t="s">
        <v>2882</v>
      </c>
    </row>
    <row r="39" spans="1:16" x14ac:dyDescent="0.25">
      <c r="A39" t="s">
        <v>1215</v>
      </c>
      <c r="B39" t="s">
        <v>174</v>
      </c>
      <c r="C39" s="3">
        <v>44060</v>
      </c>
      <c r="D39" t="s">
        <v>1024</v>
      </c>
      <c r="E39">
        <v>1.99</v>
      </c>
      <c r="F39" t="s">
        <v>1067</v>
      </c>
      <c r="G39">
        <v>17</v>
      </c>
      <c r="H39" t="s">
        <v>1068</v>
      </c>
      <c r="I39" t="s">
        <v>1068</v>
      </c>
      <c r="J39">
        <v>42598</v>
      </c>
      <c r="K39">
        <v>8</v>
      </c>
      <c r="L39" t="s">
        <v>1022</v>
      </c>
      <c r="M39">
        <v>22336</v>
      </c>
      <c r="N39">
        <v>1408</v>
      </c>
      <c r="O39">
        <v>23744</v>
      </c>
      <c r="P39" t="s">
        <v>2883</v>
      </c>
    </row>
    <row r="40" spans="1:16" x14ac:dyDescent="0.25">
      <c r="A40" t="s">
        <v>2515</v>
      </c>
      <c r="B40" t="s">
        <v>342</v>
      </c>
      <c r="C40" s="3">
        <v>45965</v>
      </c>
      <c r="D40" t="s">
        <v>1024</v>
      </c>
      <c r="E40">
        <v>59.99</v>
      </c>
      <c r="F40" t="s">
        <v>1047</v>
      </c>
      <c r="G40">
        <v>44</v>
      </c>
      <c r="H40" t="s">
        <v>1835</v>
      </c>
      <c r="I40" t="s">
        <v>1555</v>
      </c>
      <c r="J40">
        <v>42516</v>
      </c>
      <c r="K40">
        <v>4</v>
      </c>
      <c r="L40" t="s">
        <v>2516</v>
      </c>
      <c r="M40">
        <v>5387</v>
      </c>
      <c r="N40">
        <v>9197</v>
      </c>
      <c r="O40">
        <v>14584</v>
      </c>
      <c r="P40" t="s">
        <v>2883</v>
      </c>
    </row>
    <row r="41" spans="1:16" x14ac:dyDescent="0.25">
      <c r="A41" t="s">
        <v>1216</v>
      </c>
      <c r="B41" t="s">
        <v>685</v>
      </c>
      <c r="C41" s="3">
        <v>43804</v>
      </c>
      <c r="D41" t="s">
        <v>1024</v>
      </c>
      <c r="E41">
        <v>59.99</v>
      </c>
      <c r="F41" t="s">
        <v>1113</v>
      </c>
      <c r="G41">
        <v>51</v>
      </c>
      <c r="H41" t="s">
        <v>1185</v>
      </c>
      <c r="I41" t="s">
        <v>1185</v>
      </c>
      <c r="J41">
        <v>37535</v>
      </c>
      <c r="K41">
        <v>8</v>
      </c>
      <c r="L41" t="s">
        <v>1022</v>
      </c>
      <c r="M41">
        <v>299142</v>
      </c>
      <c r="N41">
        <v>26239</v>
      </c>
      <c r="O41">
        <v>325381</v>
      </c>
      <c r="P41" t="s">
        <v>2883</v>
      </c>
    </row>
    <row r="42" spans="1:16" x14ac:dyDescent="0.25">
      <c r="A42" t="s">
        <v>1217</v>
      </c>
      <c r="B42" t="s">
        <v>29</v>
      </c>
      <c r="C42" s="3">
        <v>45960</v>
      </c>
      <c r="D42" t="s">
        <v>1024</v>
      </c>
      <c r="E42">
        <v>39.99</v>
      </c>
      <c r="F42" t="s">
        <v>1189</v>
      </c>
      <c r="G42">
        <v>50</v>
      </c>
      <c r="H42" t="s">
        <v>1218</v>
      </c>
      <c r="I42" t="s">
        <v>1218</v>
      </c>
      <c r="J42">
        <v>37500</v>
      </c>
      <c r="K42">
        <v>8</v>
      </c>
      <c r="L42" t="s">
        <v>1022</v>
      </c>
      <c r="M42">
        <v>204067</v>
      </c>
      <c r="N42">
        <v>43862</v>
      </c>
      <c r="O42">
        <v>247929</v>
      </c>
      <c r="P42" t="s">
        <v>2883</v>
      </c>
    </row>
    <row r="43" spans="1:16" x14ac:dyDescent="0.25">
      <c r="A43" t="s">
        <v>2519</v>
      </c>
      <c r="B43" t="s">
        <v>31</v>
      </c>
      <c r="C43" s="3">
        <v>45224</v>
      </c>
      <c r="D43" t="s">
        <v>1024</v>
      </c>
      <c r="E43">
        <v>44.99</v>
      </c>
      <c r="F43" t="s">
        <v>1026</v>
      </c>
      <c r="G43">
        <v>32</v>
      </c>
      <c r="H43" t="s">
        <v>2345</v>
      </c>
      <c r="I43" t="s">
        <v>2345</v>
      </c>
      <c r="J43">
        <v>36829</v>
      </c>
      <c r="K43">
        <v>5</v>
      </c>
      <c r="L43" t="s">
        <v>2514</v>
      </c>
      <c r="M43">
        <v>37747</v>
      </c>
      <c r="N43">
        <v>25385</v>
      </c>
      <c r="O43">
        <v>63132</v>
      </c>
      <c r="P43" t="s">
        <v>2883</v>
      </c>
    </row>
    <row r="44" spans="1:16" x14ac:dyDescent="0.25">
      <c r="A44" t="s">
        <v>2087</v>
      </c>
      <c r="B44" t="s">
        <v>359</v>
      </c>
      <c r="C44" s="3">
        <v>39050</v>
      </c>
      <c r="D44" t="s">
        <v>1024</v>
      </c>
      <c r="E44">
        <v>9.99</v>
      </c>
      <c r="F44" t="s">
        <v>1110</v>
      </c>
      <c r="G44">
        <v>29</v>
      </c>
      <c r="H44" t="s">
        <v>1664</v>
      </c>
      <c r="I44" t="s">
        <v>1021</v>
      </c>
      <c r="J44">
        <v>34822</v>
      </c>
      <c r="K44">
        <v>9</v>
      </c>
      <c r="L44" t="s">
        <v>2077</v>
      </c>
      <c r="M44">
        <v>594969</v>
      </c>
      <c r="N44">
        <v>18143</v>
      </c>
      <c r="O44">
        <v>613112</v>
      </c>
      <c r="P44" t="s">
        <v>2883</v>
      </c>
    </row>
    <row r="45" spans="1:16" x14ac:dyDescent="0.25">
      <c r="A45" t="s">
        <v>1897</v>
      </c>
      <c r="B45" t="s">
        <v>1</v>
      </c>
      <c r="C45" s="3">
        <v>45498</v>
      </c>
      <c r="D45" t="s">
        <v>1024</v>
      </c>
      <c r="E45">
        <v>44.99</v>
      </c>
      <c r="F45" t="s">
        <v>1047</v>
      </c>
      <c r="G45">
        <v>43</v>
      </c>
      <c r="H45" t="s">
        <v>1898</v>
      </c>
      <c r="I45" t="s">
        <v>1899</v>
      </c>
      <c r="J45">
        <v>34229</v>
      </c>
      <c r="K45">
        <v>8</v>
      </c>
      <c r="L45" t="s">
        <v>1022</v>
      </c>
      <c r="M45">
        <v>157186</v>
      </c>
      <c r="N45">
        <v>27545</v>
      </c>
      <c r="O45">
        <v>184731</v>
      </c>
      <c r="P45" t="s">
        <v>2883</v>
      </c>
    </row>
    <row r="46" spans="1:16" x14ac:dyDescent="0.25">
      <c r="A46" t="s">
        <v>2621</v>
      </c>
      <c r="B46" t="s">
        <v>116</v>
      </c>
      <c r="C46" s="3">
        <v>44861</v>
      </c>
      <c r="D46" t="s">
        <v>1024</v>
      </c>
      <c r="F46" t="s">
        <v>1189</v>
      </c>
      <c r="G46">
        <v>157</v>
      </c>
      <c r="H46" t="s">
        <v>1271</v>
      </c>
      <c r="I46" t="s">
        <v>1272</v>
      </c>
      <c r="J46">
        <v>34002</v>
      </c>
      <c r="K46">
        <v>5</v>
      </c>
      <c r="L46" t="s">
        <v>2514</v>
      </c>
      <c r="M46">
        <v>224443</v>
      </c>
      <c r="N46">
        <v>155353</v>
      </c>
      <c r="O46">
        <v>379796</v>
      </c>
      <c r="P46" t="s">
        <v>2883</v>
      </c>
    </row>
    <row r="47" spans="1:16" x14ac:dyDescent="0.25">
      <c r="A47" t="s">
        <v>1031</v>
      </c>
      <c r="B47" t="s">
        <v>668</v>
      </c>
      <c r="C47" s="3">
        <v>41586</v>
      </c>
      <c r="D47" t="s">
        <v>1024</v>
      </c>
      <c r="E47">
        <v>19.989999999999998</v>
      </c>
      <c r="F47" t="s">
        <v>1026</v>
      </c>
      <c r="H47" t="s">
        <v>1032</v>
      </c>
      <c r="I47" t="s">
        <v>1032</v>
      </c>
      <c r="J47">
        <v>33099</v>
      </c>
      <c r="K47">
        <v>8</v>
      </c>
      <c r="L47" t="s">
        <v>1022</v>
      </c>
      <c r="M47">
        <v>186119</v>
      </c>
      <c r="N47">
        <v>12687</v>
      </c>
      <c r="O47">
        <v>198806</v>
      </c>
      <c r="P47" t="s">
        <v>2883</v>
      </c>
    </row>
    <row r="48" spans="1:16" x14ac:dyDescent="0.25">
      <c r="A48" t="s">
        <v>1033</v>
      </c>
      <c r="B48" t="s">
        <v>875</v>
      </c>
      <c r="C48" s="3">
        <v>44000</v>
      </c>
      <c r="D48" t="s">
        <v>1019</v>
      </c>
      <c r="F48" t="s">
        <v>1020</v>
      </c>
      <c r="H48" t="s">
        <v>1034</v>
      </c>
      <c r="I48" t="s">
        <v>1035</v>
      </c>
      <c r="J48">
        <v>33017</v>
      </c>
      <c r="K48">
        <v>8</v>
      </c>
      <c r="L48" t="s">
        <v>1022</v>
      </c>
      <c r="M48">
        <v>91562</v>
      </c>
      <c r="N48">
        <v>13790</v>
      </c>
      <c r="O48">
        <v>105352</v>
      </c>
      <c r="P48" t="s">
        <v>2882</v>
      </c>
    </row>
    <row r="49" spans="1:16" x14ac:dyDescent="0.25">
      <c r="A49" t="s">
        <v>1666</v>
      </c>
      <c r="B49" t="s">
        <v>631</v>
      </c>
      <c r="C49" s="3">
        <v>41499</v>
      </c>
      <c r="D49" t="s">
        <v>1024</v>
      </c>
      <c r="E49">
        <v>9.99</v>
      </c>
      <c r="F49" t="s">
        <v>1042</v>
      </c>
      <c r="G49">
        <v>1328</v>
      </c>
      <c r="H49" t="s">
        <v>1667</v>
      </c>
      <c r="I49" t="s">
        <v>1668</v>
      </c>
      <c r="J49">
        <v>32425</v>
      </c>
      <c r="K49">
        <v>8</v>
      </c>
      <c r="L49" t="s">
        <v>1022</v>
      </c>
      <c r="M49">
        <v>234056</v>
      </c>
      <c r="N49">
        <v>35973</v>
      </c>
      <c r="O49">
        <v>270029</v>
      </c>
      <c r="P49" t="s">
        <v>2883</v>
      </c>
    </row>
    <row r="50" spans="1:16" x14ac:dyDescent="0.25">
      <c r="A50" t="s">
        <v>2712</v>
      </c>
      <c r="B50" t="s">
        <v>30</v>
      </c>
      <c r="C50" s="3">
        <v>45915</v>
      </c>
      <c r="D50" t="s">
        <v>1019</v>
      </c>
      <c r="F50" t="s">
        <v>1020</v>
      </c>
      <c r="G50">
        <v>33</v>
      </c>
      <c r="H50" t="s">
        <v>2713</v>
      </c>
      <c r="I50" t="s">
        <v>2713</v>
      </c>
      <c r="J50">
        <v>31895</v>
      </c>
      <c r="K50">
        <v>6</v>
      </c>
      <c r="L50" t="s">
        <v>2338</v>
      </c>
      <c r="M50">
        <v>23025</v>
      </c>
      <c r="N50">
        <v>6934</v>
      </c>
      <c r="O50">
        <v>29959</v>
      </c>
      <c r="P50" t="s">
        <v>2882</v>
      </c>
    </row>
    <row r="51" spans="1:16" x14ac:dyDescent="0.25">
      <c r="A51" t="s">
        <v>1669</v>
      </c>
      <c r="B51" t="s">
        <v>270</v>
      </c>
      <c r="C51" s="3">
        <v>44616</v>
      </c>
      <c r="D51" t="s">
        <v>1024</v>
      </c>
      <c r="E51">
        <v>59.99</v>
      </c>
      <c r="F51" t="s">
        <v>1042</v>
      </c>
      <c r="G51">
        <v>42</v>
      </c>
      <c r="H51" t="s">
        <v>1304</v>
      </c>
      <c r="I51" t="s">
        <v>1304</v>
      </c>
      <c r="J51">
        <v>31403</v>
      </c>
      <c r="K51">
        <v>8</v>
      </c>
      <c r="L51" t="s">
        <v>1022</v>
      </c>
      <c r="M51">
        <v>532881</v>
      </c>
      <c r="N51">
        <v>34146</v>
      </c>
      <c r="O51">
        <v>567027</v>
      </c>
      <c r="P51" t="s">
        <v>2883</v>
      </c>
    </row>
    <row r="52" spans="1:16" x14ac:dyDescent="0.25">
      <c r="A52" t="s">
        <v>2090</v>
      </c>
      <c r="B52" t="s">
        <v>701</v>
      </c>
      <c r="C52" s="3">
        <v>43390</v>
      </c>
      <c r="D52" t="s">
        <v>1024</v>
      </c>
      <c r="E52">
        <v>34.99</v>
      </c>
      <c r="F52" t="s">
        <v>1047</v>
      </c>
      <c r="H52" t="s">
        <v>2091</v>
      </c>
      <c r="I52" t="s">
        <v>2091</v>
      </c>
      <c r="J52">
        <v>31237</v>
      </c>
      <c r="K52">
        <v>9</v>
      </c>
      <c r="L52" t="s">
        <v>2077</v>
      </c>
      <c r="M52">
        <v>138291</v>
      </c>
      <c r="N52">
        <v>2900</v>
      </c>
      <c r="O52">
        <v>141191</v>
      </c>
      <c r="P52" t="s">
        <v>2883</v>
      </c>
    </row>
    <row r="53" spans="1:16" x14ac:dyDescent="0.25">
      <c r="A53" t="s">
        <v>2088</v>
      </c>
      <c r="B53" t="s">
        <v>837</v>
      </c>
      <c r="C53" s="3">
        <v>40679</v>
      </c>
      <c r="D53" t="s">
        <v>1024</v>
      </c>
      <c r="E53">
        <v>9.99</v>
      </c>
      <c r="F53" t="s">
        <v>1042</v>
      </c>
      <c r="G53">
        <v>137</v>
      </c>
      <c r="H53" t="s">
        <v>2089</v>
      </c>
      <c r="I53" t="s">
        <v>2089</v>
      </c>
      <c r="J53">
        <v>31085</v>
      </c>
      <c r="K53">
        <v>9</v>
      </c>
      <c r="L53" t="s">
        <v>2077</v>
      </c>
      <c r="M53">
        <v>716605</v>
      </c>
      <c r="N53">
        <v>18657</v>
      </c>
      <c r="O53">
        <v>735262</v>
      </c>
      <c r="P53" t="s">
        <v>2883</v>
      </c>
    </row>
    <row r="54" spans="1:16" x14ac:dyDescent="0.25">
      <c r="A54" t="s">
        <v>1672</v>
      </c>
      <c r="B54" t="s">
        <v>846</v>
      </c>
      <c r="C54" s="3">
        <v>42670</v>
      </c>
      <c r="D54" t="s">
        <v>1024</v>
      </c>
      <c r="E54">
        <v>39.99</v>
      </c>
      <c r="F54" t="s">
        <v>1042</v>
      </c>
      <c r="G54">
        <v>75</v>
      </c>
      <c r="H54" t="s">
        <v>1206</v>
      </c>
      <c r="I54" t="s">
        <v>1051</v>
      </c>
      <c r="J54">
        <v>30870</v>
      </c>
      <c r="K54">
        <v>8</v>
      </c>
      <c r="L54" t="s">
        <v>1022</v>
      </c>
      <c r="M54">
        <v>201165</v>
      </c>
      <c r="N54">
        <v>17002</v>
      </c>
      <c r="O54">
        <v>218167</v>
      </c>
      <c r="P54" t="s">
        <v>2883</v>
      </c>
    </row>
    <row r="55" spans="1:16" x14ac:dyDescent="0.25">
      <c r="A55" t="s">
        <v>2092</v>
      </c>
      <c r="B55" t="s">
        <v>673</v>
      </c>
      <c r="C55" s="3">
        <v>45714</v>
      </c>
      <c r="D55" t="s">
        <v>1024</v>
      </c>
      <c r="E55">
        <v>9.99</v>
      </c>
      <c r="F55" t="s">
        <v>1026</v>
      </c>
      <c r="H55" t="s">
        <v>2093</v>
      </c>
      <c r="I55" t="s">
        <v>2093</v>
      </c>
      <c r="J55">
        <v>30019</v>
      </c>
      <c r="K55">
        <v>9</v>
      </c>
      <c r="L55" t="s">
        <v>2077</v>
      </c>
      <c r="M55">
        <v>165108</v>
      </c>
      <c r="N55">
        <v>5599</v>
      </c>
      <c r="O55">
        <v>170707</v>
      </c>
      <c r="P55" t="s">
        <v>2883</v>
      </c>
    </row>
    <row r="56" spans="1:16" x14ac:dyDescent="0.25">
      <c r="A56" t="s">
        <v>1670</v>
      </c>
      <c r="B56" t="s">
        <v>381</v>
      </c>
      <c r="C56" s="3">
        <v>45322</v>
      </c>
      <c r="D56" t="s">
        <v>1024</v>
      </c>
      <c r="E56">
        <v>39.99</v>
      </c>
      <c r="F56" t="s">
        <v>1042</v>
      </c>
      <c r="G56">
        <v>96</v>
      </c>
      <c r="H56" t="s">
        <v>1671</v>
      </c>
      <c r="I56" t="s">
        <v>1671</v>
      </c>
      <c r="J56">
        <v>29538</v>
      </c>
      <c r="K56">
        <v>8</v>
      </c>
      <c r="L56" t="s">
        <v>1022</v>
      </c>
      <c r="M56">
        <v>12319</v>
      </c>
      <c r="N56">
        <v>997</v>
      </c>
      <c r="O56">
        <v>13316</v>
      </c>
      <c r="P56" t="s">
        <v>2883</v>
      </c>
    </row>
    <row r="57" spans="1:16" x14ac:dyDescent="0.25">
      <c r="A57" t="s">
        <v>1900</v>
      </c>
      <c r="B57" t="s">
        <v>742</v>
      </c>
      <c r="C57" s="3">
        <v>42663</v>
      </c>
      <c r="D57" t="s">
        <v>1024</v>
      </c>
      <c r="E57">
        <v>59.99</v>
      </c>
      <c r="F57" t="s">
        <v>1047</v>
      </c>
      <c r="G57">
        <v>320</v>
      </c>
      <c r="H57" t="s">
        <v>1122</v>
      </c>
      <c r="I57" t="s">
        <v>1123</v>
      </c>
      <c r="J57">
        <v>29477</v>
      </c>
      <c r="K57">
        <v>8</v>
      </c>
      <c r="L57" t="s">
        <v>1022</v>
      </c>
      <c r="M57">
        <v>126804</v>
      </c>
      <c r="N57">
        <v>22835</v>
      </c>
      <c r="O57">
        <v>149639</v>
      </c>
      <c r="P57" t="s">
        <v>2883</v>
      </c>
    </row>
    <row r="58" spans="1:16" x14ac:dyDescent="0.25">
      <c r="A58" t="s">
        <v>2343</v>
      </c>
      <c r="B58" t="s">
        <v>911</v>
      </c>
      <c r="C58" s="3">
        <v>44608</v>
      </c>
      <c r="D58" t="s">
        <v>1024</v>
      </c>
      <c r="E58">
        <v>59.99</v>
      </c>
      <c r="F58" t="s">
        <v>1047</v>
      </c>
      <c r="G58">
        <v>138</v>
      </c>
      <c r="H58" t="s">
        <v>1644</v>
      </c>
      <c r="I58" t="s">
        <v>1555</v>
      </c>
      <c r="J58">
        <v>29024</v>
      </c>
      <c r="K58">
        <v>6</v>
      </c>
      <c r="L58" t="s">
        <v>2338</v>
      </c>
      <c r="M58">
        <v>59260</v>
      </c>
      <c r="N58">
        <v>25133</v>
      </c>
      <c r="O58">
        <v>84393</v>
      </c>
      <c r="P58" t="s">
        <v>2883</v>
      </c>
    </row>
    <row r="59" spans="1:16" x14ac:dyDescent="0.25">
      <c r="A59" t="s">
        <v>1219</v>
      </c>
      <c r="B59" t="s">
        <v>349</v>
      </c>
      <c r="C59" s="3">
        <v>46160</v>
      </c>
      <c r="D59" t="s">
        <v>1024</v>
      </c>
      <c r="E59">
        <v>69.989999999999995</v>
      </c>
      <c r="F59" t="s">
        <v>1086</v>
      </c>
      <c r="G59">
        <v>57</v>
      </c>
      <c r="H59" t="s">
        <v>1220</v>
      </c>
      <c r="I59" t="s">
        <v>1106</v>
      </c>
      <c r="J59">
        <v>28886</v>
      </c>
      <c r="K59">
        <v>8</v>
      </c>
      <c r="L59" t="s">
        <v>1022</v>
      </c>
      <c r="M59">
        <v>34867</v>
      </c>
      <c r="N59">
        <v>5784</v>
      </c>
      <c r="O59">
        <v>40651</v>
      </c>
      <c r="P59" t="s">
        <v>2883</v>
      </c>
    </row>
    <row r="60" spans="1:16" x14ac:dyDescent="0.25">
      <c r="A60" t="s">
        <v>1221</v>
      </c>
      <c r="B60" t="s">
        <v>412</v>
      </c>
      <c r="C60" s="3">
        <v>45330</v>
      </c>
      <c r="D60" t="s">
        <v>1024</v>
      </c>
      <c r="E60">
        <v>39.99</v>
      </c>
      <c r="F60" t="s">
        <v>1189</v>
      </c>
      <c r="G60">
        <v>38</v>
      </c>
      <c r="H60" t="s">
        <v>1222</v>
      </c>
      <c r="I60" t="s">
        <v>1223</v>
      </c>
      <c r="J60">
        <v>28478</v>
      </c>
      <c r="K60">
        <v>8</v>
      </c>
      <c r="L60" t="s">
        <v>1022</v>
      </c>
      <c r="M60">
        <v>652815</v>
      </c>
      <c r="N60">
        <v>162703</v>
      </c>
      <c r="O60">
        <v>815518</v>
      </c>
      <c r="P60" t="s">
        <v>2883</v>
      </c>
    </row>
    <row r="61" spans="1:16" x14ac:dyDescent="0.25">
      <c r="A61" t="s">
        <v>2094</v>
      </c>
      <c r="B61" t="s">
        <v>78</v>
      </c>
      <c r="C61" s="3">
        <v>42153</v>
      </c>
      <c r="D61" t="s">
        <v>1024</v>
      </c>
      <c r="E61">
        <v>24.99</v>
      </c>
      <c r="F61" t="s">
        <v>1026</v>
      </c>
      <c r="G61">
        <v>5</v>
      </c>
      <c r="H61" t="s">
        <v>2095</v>
      </c>
      <c r="I61" t="s">
        <v>2095</v>
      </c>
      <c r="J61">
        <v>27404</v>
      </c>
      <c r="K61">
        <v>9</v>
      </c>
      <c r="L61" t="s">
        <v>2077</v>
      </c>
      <c r="M61">
        <v>215183</v>
      </c>
      <c r="N61">
        <v>5110</v>
      </c>
      <c r="O61">
        <v>220293</v>
      </c>
      <c r="P61" t="s">
        <v>2883</v>
      </c>
    </row>
    <row r="62" spans="1:16" x14ac:dyDescent="0.25">
      <c r="A62" t="s">
        <v>1901</v>
      </c>
      <c r="B62" t="s">
        <v>555</v>
      </c>
      <c r="C62" s="3">
        <v>44859</v>
      </c>
      <c r="D62" t="s">
        <v>1024</v>
      </c>
      <c r="E62">
        <v>49.99</v>
      </c>
      <c r="F62" t="s">
        <v>1047</v>
      </c>
      <c r="G62">
        <v>50</v>
      </c>
      <c r="H62" t="s">
        <v>1902</v>
      </c>
      <c r="I62" t="s">
        <v>1902</v>
      </c>
      <c r="J62">
        <v>27300</v>
      </c>
      <c r="K62">
        <v>8</v>
      </c>
      <c r="L62" t="s">
        <v>1022</v>
      </c>
      <c r="M62">
        <v>99542</v>
      </c>
      <c r="N62">
        <v>15185</v>
      </c>
      <c r="O62">
        <v>114727</v>
      </c>
      <c r="P62" t="s">
        <v>2883</v>
      </c>
    </row>
    <row r="63" spans="1:16" x14ac:dyDescent="0.25">
      <c r="A63" t="s">
        <v>2714</v>
      </c>
      <c r="B63" t="s">
        <v>892</v>
      </c>
      <c r="C63" s="3">
        <v>43967</v>
      </c>
      <c r="D63" t="s">
        <v>1019</v>
      </c>
      <c r="F63" t="s">
        <v>1020</v>
      </c>
      <c r="H63" t="s">
        <v>2715</v>
      </c>
      <c r="I63" t="s">
        <v>2089</v>
      </c>
      <c r="J63">
        <v>26895</v>
      </c>
      <c r="K63">
        <v>9</v>
      </c>
      <c r="L63" t="s">
        <v>2077</v>
      </c>
      <c r="M63">
        <v>195912</v>
      </c>
      <c r="N63">
        <v>4958</v>
      </c>
      <c r="O63">
        <v>200870</v>
      </c>
      <c r="P63" t="s">
        <v>2882</v>
      </c>
    </row>
    <row r="64" spans="1:16" x14ac:dyDescent="0.25">
      <c r="A64" t="s">
        <v>1038</v>
      </c>
      <c r="B64" t="s">
        <v>933</v>
      </c>
      <c r="C64" s="3">
        <v>44229</v>
      </c>
      <c r="D64" t="s">
        <v>1024</v>
      </c>
      <c r="E64">
        <v>19.989999999999998</v>
      </c>
      <c r="F64" t="s">
        <v>1026</v>
      </c>
      <c r="H64" t="s">
        <v>1039</v>
      </c>
      <c r="I64" t="s">
        <v>1040</v>
      </c>
      <c r="J64">
        <v>26198</v>
      </c>
      <c r="K64">
        <v>8</v>
      </c>
      <c r="L64" t="s">
        <v>1022</v>
      </c>
      <c r="M64">
        <v>284420</v>
      </c>
      <c r="N64">
        <v>16588</v>
      </c>
      <c r="O64">
        <v>301008</v>
      </c>
      <c r="P64" t="s">
        <v>2883</v>
      </c>
    </row>
    <row r="65" spans="1:16" x14ac:dyDescent="0.25">
      <c r="A65" t="s">
        <v>2098</v>
      </c>
      <c r="B65" t="s">
        <v>723</v>
      </c>
      <c r="C65" s="3">
        <v>45545</v>
      </c>
      <c r="D65" t="s">
        <v>1024</v>
      </c>
      <c r="E65">
        <v>39.99</v>
      </c>
      <c r="F65" t="s">
        <v>1047</v>
      </c>
      <c r="G65">
        <v>44</v>
      </c>
      <c r="H65" t="s">
        <v>2099</v>
      </c>
      <c r="I65" t="s">
        <v>1040</v>
      </c>
      <c r="J65">
        <v>25440</v>
      </c>
      <c r="K65">
        <v>9</v>
      </c>
      <c r="L65" t="s">
        <v>2077</v>
      </c>
      <c r="M65">
        <v>156466</v>
      </c>
      <c r="N65">
        <v>4094</v>
      </c>
      <c r="O65">
        <v>160560</v>
      </c>
      <c r="P65" t="s">
        <v>2883</v>
      </c>
    </row>
    <row r="66" spans="1:16" x14ac:dyDescent="0.25">
      <c r="A66" t="s">
        <v>2716</v>
      </c>
      <c r="B66" t="s">
        <v>269</v>
      </c>
      <c r="C66" s="3">
        <v>44468</v>
      </c>
      <c r="D66" t="s">
        <v>1019</v>
      </c>
      <c r="F66" t="s">
        <v>1020</v>
      </c>
      <c r="H66" t="s">
        <v>1418</v>
      </c>
      <c r="I66" t="s">
        <v>1418</v>
      </c>
      <c r="J66">
        <v>24979</v>
      </c>
      <c r="K66">
        <v>5</v>
      </c>
      <c r="L66" t="s">
        <v>2514</v>
      </c>
      <c r="M66">
        <v>14295</v>
      </c>
      <c r="N66">
        <v>14937</v>
      </c>
      <c r="O66">
        <v>29232</v>
      </c>
      <c r="P66" t="s">
        <v>2882</v>
      </c>
    </row>
    <row r="67" spans="1:16" x14ac:dyDescent="0.25">
      <c r="A67" t="s">
        <v>1036</v>
      </c>
      <c r="B67" t="s">
        <v>490</v>
      </c>
      <c r="C67" s="3">
        <v>44983</v>
      </c>
      <c r="D67" t="s">
        <v>1019</v>
      </c>
      <c r="F67" t="s">
        <v>1020</v>
      </c>
      <c r="H67" t="s">
        <v>1037</v>
      </c>
      <c r="I67" t="s">
        <v>1037</v>
      </c>
      <c r="J67">
        <v>24672</v>
      </c>
      <c r="K67">
        <v>8</v>
      </c>
      <c r="L67" t="s">
        <v>1022</v>
      </c>
      <c r="M67">
        <v>44701</v>
      </c>
      <c r="N67">
        <v>3406</v>
      </c>
      <c r="O67">
        <v>48107</v>
      </c>
      <c r="P67" t="s">
        <v>2882</v>
      </c>
    </row>
    <row r="68" spans="1:16" x14ac:dyDescent="0.25">
      <c r="A68" t="s">
        <v>2096</v>
      </c>
      <c r="B68" t="s">
        <v>230</v>
      </c>
      <c r="C68" s="3">
        <v>42481</v>
      </c>
      <c r="D68" t="s">
        <v>1024</v>
      </c>
      <c r="E68">
        <v>14.99</v>
      </c>
      <c r="F68" t="s">
        <v>1047</v>
      </c>
      <c r="H68" t="s">
        <v>2097</v>
      </c>
      <c r="I68" t="s">
        <v>2097</v>
      </c>
      <c r="J68">
        <v>24424</v>
      </c>
      <c r="K68">
        <v>9</v>
      </c>
      <c r="L68" t="s">
        <v>2077</v>
      </c>
      <c r="M68">
        <v>124100</v>
      </c>
      <c r="N68">
        <v>6200</v>
      </c>
      <c r="O68">
        <v>130300</v>
      </c>
      <c r="P68" t="s">
        <v>2883</v>
      </c>
    </row>
    <row r="69" spans="1:16" x14ac:dyDescent="0.25">
      <c r="A69" t="s">
        <v>1903</v>
      </c>
      <c r="B69" t="s">
        <v>177</v>
      </c>
      <c r="C69" s="3">
        <v>44075</v>
      </c>
      <c r="D69" t="s">
        <v>1024</v>
      </c>
      <c r="E69">
        <v>49.99</v>
      </c>
      <c r="F69" t="s">
        <v>1047</v>
      </c>
      <c r="G69">
        <v>188</v>
      </c>
      <c r="H69" t="s">
        <v>1845</v>
      </c>
      <c r="I69" t="s">
        <v>1846</v>
      </c>
      <c r="J69">
        <v>24202</v>
      </c>
      <c r="K69">
        <v>8</v>
      </c>
      <c r="L69" t="s">
        <v>1022</v>
      </c>
      <c r="M69">
        <v>61162</v>
      </c>
      <c r="N69">
        <v>6828</v>
      </c>
      <c r="O69">
        <v>67990</v>
      </c>
      <c r="P69" t="s">
        <v>2883</v>
      </c>
    </row>
    <row r="70" spans="1:16" x14ac:dyDescent="0.25">
      <c r="A70" t="s">
        <v>2100</v>
      </c>
      <c r="B70" t="s">
        <v>476</v>
      </c>
      <c r="C70" s="3">
        <v>40133</v>
      </c>
      <c r="D70" t="s">
        <v>1024</v>
      </c>
      <c r="E70">
        <v>9.99</v>
      </c>
      <c r="F70" t="s">
        <v>1189</v>
      </c>
      <c r="G70">
        <v>101</v>
      </c>
      <c r="H70" t="s">
        <v>1021</v>
      </c>
      <c r="I70" t="s">
        <v>1021</v>
      </c>
      <c r="J70">
        <v>23160</v>
      </c>
      <c r="K70">
        <v>9</v>
      </c>
      <c r="L70" t="s">
        <v>2077</v>
      </c>
      <c r="M70">
        <v>308517</v>
      </c>
      <c r="N70">
        <v>8041</v>
      </c>
      <c r="O70">
        <v>316558</v>
      </c>
      <c r="P70" t="s">
        <v>2883</v>
      </c>
    </row>
    <row r="71" spans="1:16" x14ac:dyDescent="0.25">
      <c r="A71" t="s">
        <v>2622</v>
      </c>
      <c r="B71" t="s">
        <v>595</v>
      </c>
      <c r="C71" s="3">
        <v>44641</v>
      </c>
      <c r="D71" t="s">
        <v>1019</v>
      </c>
      <c r="F71" t="s">
        <v>1055</v>
      </c>
      <c r="H71" t="s">
        <v>2623</v>
      </c>
      <c r="I71" t="s">
        <v>2623</v>
      </c>
      <c r="J71">
        <v>22595</v>
      </c>
      <c r="K71">
        <v>9</v>
      </c>
      <c r="L71" t="s">
        <v>2077</v>
      </c>
      <c r="M71">
        <v>11438</v>
      </c>
      <c r="N71">
        <v>526</v>
      </c>
      <c r="O71">
        <v>11964</v>
      </c>
      <c r="P71" t="s">
        <v>2882</v>
      </c>
    </row>
    <row r="72" spans="1:16" x14ac:dyDescent="0.25">
      <c r="A72" t="s">
        <v>2101</v>
      </c>
      <c r="B72" t="s">
        <v>295</v>
      </c>
      <c r="C72" s="3">
        <v>44057</v>
      </c>
      <c r="D72" t="s">
        <v>1024</v>
      </c>
      <c r="E72">
        <v>35</v>
      </c>
      <c r="F72" t="s">
        <v>1047</v>
      </c>
      <c r="G72">
        <v>88</v>
      </c>
      <c r="H72" t="s">
        <v>2102</v>
      </c>
      <c r="I72" t="s">
        <v>2102</v>
      </c>
      <c r="J72">
        <v>22049</v>
      </c>
      <c r="K72">
        <v>9</v>
      </c>
      <c r="L72" t="s">
        <v>2077</v>
      </c>
      <c r="M72">
        <v>142226</v>
      </c>
      <c r="N72">
        <v>2527</v>
      </c>
      <c r="O72">
        <v>144753</v>
      </c>
      <c r="P72" t="s">
        <v>2883</v>
      </c>
    </row>
    <row r="73" spans="1:16" x14ac:dyDescent="0.25">
      <c r="A73" t="s">
        <v>1789</v>
      </c>
      <c r="B73" t="s">
        <v>710</v>
      </c>
      <c r="C73" s="3">
        <v>42191</v>
      </c>
      <c r="D73" t="s">
        <v>1024</v>
      </c>
      <c r="F73" t="s">
        <v>1086</v>
      </c>
      <c r="G73">
        <v>88</v>
      </c>
      <c r="H73" t="s">
        <v>1790</v>
      </c>
      <c r="I73" t="s">
        <v>1790</v>
      </c>
      <c r="J73">
        <v>21874</v>
      </c>
      <c r="K73">
        <v>8</v>
      </c>
      <c r="L73" t="s">
        <v>1022</v>
      </c>
      <c r="M73">
        <v>259756</v>
      </c>
      <c r="N73">
        <v>42115</v>
      </c>
      <c r="O73">
        <v>301871</v>
      </c>
      <c r="P73" t="s">
        <v>2883</v>
      </c>
    </row>
    <row r="74" spans="1:16" x14ac:dyDescent="0.25">
      <c r="A74" t="s">
        <v>1786</v>
      </c>
      <c r="B74" t="s">
        <v>572</v>
      </c>
      <c r="C74" s="3">
        <v>44419</v>
      </c>
      <c r="D74" t="s">
        <v>1019</v>
      </c>
      <c r="F74" t="s">
        <v>1020</v>
      </c>
      <c r="G74">
        <v>40</v>
      </c>
      <c r="H74" t="s">
        <v>1787</v>
      </c>
      <c r="I74" t="s">
        <v>1788</v>
      </c>
      <c r="J74">
        <v>21656</v>
      </c>
      <c r="K74">
        <v>8</v>
      </c>
      <c r="L74" t="s">
        <v>1022</v>
      </c>
      <c r="M74">
        <v>19208</v>
      </c>
      <c r="N74">
        <v>4447</v>
      </c>
      <c r="O74">
        <v>23655</v>
      </c>
      <c r="P74" t="s">
        <v>2882</v>
      </c>
    </row>
    <row r="75" spans="1:16" x14ac:dyDescent="0.25">
      <c r="A75" t="s">
        <v>2344</v>
      </c>
      <c r="B75" t="s">
        <v>32</v>
      </c>
      <c r="C75" s="3">
        <v>42974</v>
      </c>
      <c r="D75" t="s">
        <v>1024</v>
      </c>
      <c r="E75">
        <v>14.99</v>
      </c>
      <c r="F75" t="s">
        <v>1042</v>
      </c>
      <c r="G75">
        <v>32</v>
      </c>
      <c r="H75" t="s">
        <v>2345</v>
      </c>
      <c r="I75" t="s">
        <v>2345</v>
      </c>
      <c r="J75">
        <v>21295</v>
      </c>
      <c r="K75">
        <v>6</v>
      </c>
      <c r="L75" t="s">
        <v>2338</v>
      </c>
      <c r="M75">
        <v>265168</v>
      </c>
      <c r="N75">
        <v>66446</v>
      </c>
      <c r="O75">
        <v>331614</v>
      </c>
      <c r="P75" t="s">
        <v>2883</v>
      </c>
    </row>
    <row r="76" spans="1:16" x14ac:dyDescent="0.25">
      <c r="A76" t="s">
        <v>2520</v>
      </c>
      <c r="B76" t="s">
        <v>281</v>
      </c>
      <c r="C76" s="3">
        <v>45976</v>
      </c>
      <c r="D76" t="s">
        <v>1024</v>
      </c>
      <c r="E76">
        <v>49.99</v>
      </c>
      <c r="F76" t="s">
        <v>1110</v>
      </c>
      <c r="G76">
        <v>84</v>
      </c>
      <c r="H76" t="s">
        <v>2521</v>
      </c>
      <c r="I76" t="s">
        <v>2521</v>
      </c>
      <c r="J76">
        <v>21235</v>
      </c>
      <c r="K76">
        <v>5</v>
      </c>
      <c r="L76" t="s">
        <v>2514</v>
      </c>
      <c r="M76">
        <v>8069</v>
      </c>
      <c r="N76">
        <v>5030</v>
      </c>
      <c r="O76">
        <v>13099</v>
      </c>
      <c r="P76" t="s">
        <v>2883</v>
      </c>
    </row>
    <row r="77" spans="1:16" x14ac:dyDescent="0.25">
      <c r="A77" t="s">
        <v>2103</v>
      </c>
      <c r="B77" t="s">
        <v>880</v>
      </c>
      <c r="C77" s="3">
        <v>42142</v>
      </c>
      <c r="D77" t="s">
        <v>1024</v>
      </c>
      <c r="E77">
        <v>39.99</v>
      </c>
      <c r="F77" t="s">
        <v>1042</v>
      </c>
      <c r="G77">
        <v>78</v>
      </c>
      <c r="H77" t="s">
        <v>1181</v>
      </c>
      <c r="I77" t="s">
        <v>1181</v>
      </c>
      <c r="J77">
        <v>20976</v>
      </c>
      <c r="K77">
        <v>9</v>
      </c>
      <c r="L77" t="s">
        <v>2077</v>
      </c>
      <c r="M77">
        <v>249132</v>
      </c>
      <c r="N77">
        <v>8220</v>
      </c>
      <c r="O77">
        <v>257352</v>
      </c>
      <c r="P77" t="s">
        <v>2883</v>
      </c>
    </row>
    <row r="78" spans="1:16" x14ac:dyDescent="0.25">
      <c r="A78" t="s">
        <v>2346</v>
      </c>
      <c r="B78" t="s">
        <v>436</v>
      </c>
      <c r="C78" s="3">
        <v>43704</v>
      </c>
      <c r="D78" t="s">
        <v>1024</v>
      </c>
      <c r="E78">
        <v>39.99</v>
      </c>
      <c r="F78" t="s">
        <v>1189</v>
      </c>
      <c r="G78">
        <v>36</v>
      </c>
      <c r="H78" t="s">
        <v>2347</v>
      </c>
      <c r="I78" t="s">
        <v>2347</v>
      </c>
      <c r="J78">
        <v>20300</v>
      </c>
      <c r="K78">
        <v>6</v>
      </c>
      <c r="L78" t="s">
        <v>2338</v>
      </c>
      <c r="M78">
        <v>90316</v>
      </c>
      <c r="N78">
        <v>28297</v>
      </c>
      <c r="O78">
        <v>118613</v>
      </c>
      <c r="P78" t="s">
        <v>2883</v>
      </c>
    </row>
    <row r="79" spans="1:16" x14ac:dyDescent="0.25">
      <c r="A79" t="s">
        <v>2348</v>
      </c>
      <c r="B79" t="s">
        <v>84</v>
      </c>
      <c r="C79" s="3">
        <v>42879</v>
      </c>
      <c r="D79" t="s">
        <v>1024</v>
      </c>
      <c r="E79">
        <v>9.99</v>
      </c>
      <c r="F79" t="s">
        <v>1047</v>
      </c>
      <c r="H79" t="s">
        <v>1227</v>
      </c>
      <c r="I79" t="s">
        <v>1227</v>
      </c>
      <c r="J79">
        <v>19855</v>
      </c>
      <c r="K79">
        <v>6</v>
      </c>
      <c r="L79" t="s">
        <v>2338</v>
      </c>
      <c r="M79">
        <v>36165</v>
      </c>
      <c r="N79">
        <v>15018</v>
      </c>
      <c r="O79">
        <v>51183</v>
      </c>
      <c r="P79" t="s">
        <v>2883</v>
      </c>
    </row>
    <row r="80" spans="1:16" x14ac:dyDescent="0.25">
      <c r="A80" t="s">
        <v>2717</v>
      </c>
      <c r="B80" t="s">
        <v>786</v>
      </c>
      <c r="C80" s="3">
        <v>44904</v>
      </c>
      <c r="D80" t="s">
        <v>1019</v>
      </c>
      <c r="F80" t="s">
        <v>1020</v>
      </c>
      <c r="G80">
        <v>17</v>
      </c>
      <c r="H80" t="s">
        <v>2718</v>
      </c>
      <c r="I80" t="s">
        <v>2718</v>
      </c>
      <c r="J80">
        <v>19854</v>
      </c>
      <c r="K80">
        <v>5</v>
      </c>
      <c r="L80" t="s">
        <v>2514</v>
      </c>
      <c r="M80">
        <v>10822</v>
      </c>
      <c r="N80">
        <v>5461</v>
      </c>
      <c r="O80">
        <v>16283</v>
      </c>
      <c r="P80" t="s">
        <v>2882</v>
      </c>
    </row>
    <row r="81" spans="1:16" x14ac:dyDescent="0.25">
      <c r="A81" t="s">
        <v>1904</v>
      </c>
      <c r="B81" t="s">
        <v>11</v>
      </c>
      <c r="C81" s="3">
        <v>43783</v>
      </c>
      <c r="D81" t="s">
        <v>1024</v>
      </c>
      <c r="E81">
        <v>34.99</v>
      </c>
      <c r="F81" t="s">
        <v>1047</v>
      </c>
      <c r="G81">
        <v>357</v>
      </c>
      <c r="H81" t="s">
        <v>1825</v>
      </c>
      <c r="I81" t="s">
        <v>1106</v>
      </c>
      <c r="J81">
        <v>19452</v>
      </c>
      <c r="K81">
        <v>8</v>
      </c>
      <c r="L81" t="s">
        <v>1022</v>
      </c>
      <c r="M81">
        <v>65839</v>
      </c>
      <c r="N81">
        <v>3522</v>
      </c>
      <c r="O81">
        <v>69361</v>
      </c>
      <c r="P81" t="s">
        <v>2883</v>
      </c>
    </row>
    <row r="82" spans="1:16" x14ac:dyDescent="0.25">
      <c r="A82" t="s">
        <v>1041</v>
      </c>
      <c r="B82" t="s">
        <v>327</v>
      </c>
      <c r="C82" s="3">
        <v>41688</v>
      </c>
      <c r="D82" t="s">
        <v>1024</v>
      </c>
      <c r="E82">
        <v>19.989999999999998</v>
      </c>
      <c r="F82" t="s">
        <v>1042</v>
      </c>
      <c r="H82" t="s">
        <v>1043</v>
      </c>
      <c r="I82" t="s">
        <v>1043</v>
      </c>
      <c r="J82">
        <v>19322</v>
      </c>
      <c r="K82">
        <v>8</v>
      </c>
      <c r="L82" t="s">
        <v>1022</v>
      </c>
      <c r="M82">
        <v>57613</v>
      </c>
      <c r="N82">
        <v>8595</v>
      </c>
      <c r="O82">
        <v>66208</v>
      </c>
      <c r="P82" t="s">
        <v>2883</v>
      </c>
    </row>
    <row r="83" spans="1:16" x14ac:dyDescent="0.25">
      <c r="A83" t="s">
        <v>1673</v>
      </c>
      <c r="B83" t="s">
        <v>466</v>
      </c>
      <c r="C83" s="3">
        <v>45692</v>
      </c>
      <c r="D83" t="s">
        <v>1024</v>
      </c>
      <c r="E83">
        <v>59.99</v>
      </c>
      <c r="F83" t="s">
        <v>1042</v>
      </c>
      <c r="G83">
        <v>83</v>
      </c>
      <c r="H83" t="s">
        <v>1674</v>
      </c>
      <c r="I83" t="s">
        <v>1435</v>
      </c>
      <c r="J83">
        <v>18765</v>
      </c>
      <c r="K83">
        <v>8</v>
      </c>
      <c r="L83" t="s">
        <v>1022</v>
      </c>
      <c r="M83">
        <v>77295</v>
      </c>
      <c r="N83">
        <v>5882</v>
      </c>
      <c r="O83">
        <v>83177</v>
      </c>
      <c r="P83" t="s">
        <v>2883</v>
      </c>
    </row>
    <row r="84" spans="1:16" x14ac:dyDescent="0.25">
      <c r="A84" t="s">
        <v>1905</v>
      </c>
      <c r="B84" t="s">
        <v>341</v>
      </c>
      <c r="C84" s="3">
        <v>45236</v>
      </c>
      <c r="D84" t="s">
        <v>1024</v>
      </c>
      <c r="F84" t="s">
        <v>1047</v>
      </c>
      <c r="G84">
        <v>100</v>
      </c>
      <c r="H84" t="s">
        <v>1835</v>
      </c>
      <c r="I84" t="s">
        <v>1555</v>
      </c>
      <c r="J84">
        <v>18044</v>
      </c>
      <c r="K84">
        <v>8</v>
      </c>
      <c r="L84" t="s">
        <v>1022</v>
      </c>
      <c r="M84">
        <v>10656</v>
      </c>
      <c r="N84">
        <v>853</v>
      </c>
      <c r="O84">
        <v>11509</v>
      </c>
      <c r="P84" t="s">
        <v>2883</v>
      </c>
    </row>
    <row r="85" spans="1:16" x14ac:dyDescent="0.25">
      <c r="A85" t="s">
        <v>2349</v>
      </c>
      <c r="B85" t="s">
        <v>574</v>
      </c>
      <c r="C85" s="3">
        <v>45904</v>
      </c>
      <c r="D85" t="s">
        <v>1024</v>
      </c>
      <c r="E85">
        <v>69.989999999999995</v>
      </c>
      <c r="F85" t="s">
        <v>1086</v>
      </c>
      <c r="G85">
        <v>48</v>
      </c>
      <c r="H85" t="s">
        <v>2350</v>
      </c>
      <c r="I85" t="s">
        <v>1123</v>
      </c>
      <c r="J85">
        <v>17763</v>
      </c>
      <c r="K85">
        <v>6</v>
      </c>
      <c r="L85" t="s">
        <v>2338</v>
      </c>
      <c r="M85">
        <v>10810</v>
      </c>
      <c r="N85">
        <v>4246</v>
      </c>
      <c r="O85">
        <v>15056</v>
      </c>
      <c r="P85" t="s">
        <v>2883</v>
      </c>
    </row>
    <row r="86" spans="1:16" x14ac:dyDescent="0.25">
      <c r="A86" t="s">
        <v>1791</v>
      </c>
      <c r="B86" t="s">
        <v>848</v>
      </c>
      <c r="C86" s="3">
        <v>45267</v>
      </c>
      <c r="D86" t="s">
        <v>1019</v>
      </c>
      <c r="F86" t="s">
        <v>1020</v>
      </c>
      <c r="G86">
        <v>50</v>
      </c>
      <c r="H86" t="s">
        <v>1218</v>
      </c>
      <c r="I86" t="s">
        <v>1218</v>
      </c>
      <c r="J86">
        <v>17460</v>
      </c>
      <c r="K86">
        <v>8</v>
      </c>
      <c r="L86" t="s">
        <v>1022</v>
      </c>
      <c r="M86">
        <v>125109</v>
      </c>
      <c r="N86">
        <v>30141</v>
      </c>
      <c r="O86">
        <v>155250</v>
      </c>
      <c r="P86" t="s">
        <v>2882</v>
      </c>
    </row>
    <row r="87" spans="1:16" x14ac:dyDescent="0.25">
      <c r="A87" t="s">
        <v>2104</v>
      </c>
      <c r="B87" t="s">
        <v>772</v>
      </c>
      <c r="C87" s="3">
        <v>43008</v>
      </c>
      <c r="D87" t="s">
        <v>1024</v>
      </c>
      <c r="E87">
        <v>4.99</v>
      </c>
      <c r="F87" t="s">
        <v>1067</v>
      </c>
      <c r="H87" t="s">
        <v>1101</v>
      </c>
      <c r="I87" t="s">
        <v>1101</v>
      </c>
      <c r="J87">
        <v>16940</v>
      </c>
      <c r="K87">
        <v>9</v>
      </c>
      <c r="L87" t="s">
        <v>2077</v>
      </c>
      <c r="M87">
        <v>28841</v>
      </c>
      <c r="N87">
        <v>1350</v>
      </c>
      <c r="O87">
        <v>30191</v>
      </c>
      <c r="P87" t="s">
        <v>2883</v>
      </c>
    </row>
    <row r="88" spans="1:16" x14ac:dyDescent="0.25">
      <c r="A88" t="s">
        <v>1044</v>
      </c>
      <c r="B88" t="s">
        <v>980</v>
      </c>
      <c r="C88" s="3">
        <v>45775</v>
      </c>
      <c r="D88" t="s">
        <v>1019</v>
      </c>
      <c r="F88" t="s">
        <v>1020</v>
      </c>
      <c r="H88" t="s">
        <v>1045</v>
      </c>
      <c r="I88" t="s">
        <v>1045</v>
      </c>
      <c r="J88">
        <v>16659</v>
      </c>
      <c r="K88">
        <v>8</v>
      </c>
      <c r="L88" t="s">
        <v>1022</v>
      </c>
      <c r="M88">
        <v>24921</v>
      </c>
      <c r="N88">
        <v>3207</v>
      </c>
      <c r="O88">
        <v>28128</v>
      </c>
      <c r="P88" t="s">
        <v>2882</v>
      </c>
    </row>
    <row r="89" spans="1:16" x14ac:dyDescent="0.25">
      <c r="A89" t="s">
        <v>2719</v>
      </c>
      <c r="B89" t="s">
        <v>900</v>
      </c>
      <c r="C89" s="3">
        <v>45055</v>
      </c>
      <c r="D89" t="s">
        <v>1019</v>
      </c>
      <c r="F89" t="s">
        <v>1020</v>
      </c>
      <c r="G89">
        <v>43</v>
      </c>
      <c r="H89" t="s">
        <v>1593</v>
      </c>
      <c r="I89" t="s">
        <v>1593</v>
      </c>
      <c r="J89">
        <v>16447</v>
      </c>
      <c r="K89">
        <v>5</v>
      </c>
      <c r="L89" t="s">
        <v>2514</v>
      </c>
      <c r="M89">
        <v>5012</v>
      </c>
      <c r="N89">
        <v>3090</v>
      </c>
      <c r="O89">
        <v>8102</v>
      </c>
      <c r="P89" t="s">
        <v>2882</v>
      </c>
    </row>
    <row r="90" spans="1:16" x14ac:dyDescent="0.25">
      <c r="A90" t="s">
        <v>2351</v>
      </c>
      <c r="B90" t="s">
        <v>854</v>
      </c>
      <c r="C90" s="3">
        <v>42339</v>
      </c>
      <c r="D90" t="s">
        <v>1024</v>
      </c>
      <c r="E90">
        <v>19.989999999999998</v>
      </c>
      <c r="F90" t="s">
        <v>1026</v>
      </c>
      <c r="H90" t="s">
        <v>2352</v>
      </c>
      <c r="I90" t="s">
        <v>2352</v>
      </c>
      <c r="J90">
        <v>16386</v>
      </c>
      <c r="K90">
        <v>6</v>
      </c>
      <c r="L90" t="s">
        <v>2338</v>
      </c>
      <c r="M90">
        <v>50007</v>
      </c>
      <c r="N90">
        <v>14798</v>
      </c>
      <c r="O90">
        <v>64805</v>
      </c>
      <c r="P90" t="s">
        <v>2883</v>
      </c>
    </row>
    <row r="91" spans="1:16" x14ac:dyDescent="0.25">
      <c r="A91" t="s">
        <v>2353</v>
      </c>
      <c r="B91" t="s">
        <v>34</v>
      </c>
      <c r="C91" s="3">
        <v>45246</v>
      </c>
      <c r="D91" t="s">
        <v>1024</v>
      </c>
      <c r="E91">
        <v>39.99</v>
      </c>
      <c r="F91" t="s">
        <v>1047</v>
      </c>
      <c r="G91">
        <v>24</v>
      </c>
      <c r="H91" t="s">
        <v>1629</v>
      </c>
      <c r="I91" t="s">
        <v>1629</v>
      </c>
      <c r="J91">
        <v>16332</v>
      </c>
      <c r="K91">
        <v>6</v>
      </c>
      <c r="L91" t="s">
        <v>2338</v>
      </c>
      <c r="M91">
        <v>26097</v>
      </c>
      <c r="N91">
        <v>7048</v>
      </c>
      <c r="O91">
        <v>33145</v>
      </c>
      <c r="P91" t="s">
        <v>2883</v>
      </c>
    </row>
    <row r="92" spans="1:16" x14ac:dyDescent="0.25">
      <c r="A92" t="s">
        <v>1675</v>
      </c>
      <c r="B92" t="s">
        <v>954</v>
      </c>
      <c r="C92" s="3">
        <v>45544</v>
      </c>
      <c r="D92" t="s">
        <v>1024</v>
      </c>
      <c r="E92">
        <v>59.99</v>
      </c>
      <c r="F92" t="s">
        <v>1042</v>
      </c>
      <c r="G92">
        <v>50</v>
      </c>
      <c r="H92" t="s">
        <v>1281</v>
      </c>
      <c r="I92" t="s">
        <v>1282</v>
      </c>
      <c r="J92">
        <v>15693</v>
      </c>
      <c r="K92">
        <v>8</v>
      </c>
      <c r="L92" t="s">
        <v>1022</v>
      </c>
      <c r="M92">
        <v>105581</v>
      </c>
      <c r="N92">
        <v>16267</v>
      </c>
      <c r="O92">
        <v>121848</v>
      </c>
      <c r="P92" t="s">
        <v>2883</v>
      </c>
    </row>
    <row r="93" spans="1:16" x14ac:dyDescent="0.25">
      <c r="A93" t="s">
        <v>999</v>
      </c>
      <c r="B93" t="s">
        <v>745</v>
      </c>
      <c r="C93" s="3">
        <v>40442</v>
      </c>
      <c r="D93" t="s">
        <v>1024</v>
      </c>
      <c r="E93">
        <v>29.99</v>
      </c>
      <c r="F93" t="s">
        <v>1047</v>
      </c>
      <c r="G93">
        <v>286</v>
      </c>
      <c r="H93" t="s">
        <v>1122</v>
      </c>
      <c r="I93" t="s">
        <v>1123</v>
      </c>
      <c r="J93">
        <v>15458</v>
      </c>
      <c r="K93">
        <v>9</v>
      </c>
      <c r="L93" t="s">
        <v>2077</v>
      </c>
      <c r="M93">
        <v>124198</v>
      </c>
      <c r="N93">
        <v>5719</v>
      </c>
      <c r="O93">
        <v>129917</v>
      </c>
      <c r="P93" t="s">
        <v>2883</v>
      </c>
    </row>
    <row r="94" spans="1:16" x14ac:dyDescent="0.25">
      <c r="A94" t="s">
        <v>2522</v>
      </c>
      <c r="B94" t="s">
        <v>218</v>
      </c>
      <c r="C94" s="3">
        <v>45216</v>
      </c>
      <c r="D94" t="s">
        <v>1024</v>
      </c>
      <c r="E94">
        <v>49.99</v>
      </c>
      <c r="F94" t="s">
        <v>1042</v>
      </c>
      <c r="G94">
        <v>45</v>
      </c>
      <c r="H94" t="s">
        <v>1942</v>
      </c>
      <c r="I94" t="s">
        <v>1942</v>
      </c>
      <c r="J94">
        <v>14919</v>
      </c>
      <c r="K94">
        <v>5</v>
      </c>
      <c r="L94" t="s">
        <v>2514</v>
      </c>
      <c r="M94">
        <v>17395</v>
      </c>
      <c r="N94">
        <v>7979</v>
      </c>
      <c r="O94">
        <v>25374</v>
      </c>
      <c r="P94" t="s">
        <v>2883</v>
      </c>
    </row>
    <row r="95" spans="1:16" x14ac:dyDescent="0.25">
      <c r="A95" t="s">
        <v>2354</v>
      </c>
      <c r="B95" t="s">
        <v>949</v>
      </c>
      <c r="C95" s="3">
        <v>44895</v>
      </c>
      <c r="D95" t="s">
        <v>1024</v>
      </c>
      <c r="E95">
        <v>39.99</v>
      </c>
      <c r="F95" t="s">
        <v>1042</v>
      </c>
      <c r="G95">
        <v>36</v>
      </c>
      <c r="H95" t="s">
        <v>1704</v>
      </c>
      <c r="I95" t="s">
        <v>1704</v>
      </c>
      <c r="J95">
        <v>14609</v>
      </c>
      <c r="K95">
        <v>6</v>
      </c>
      <c r="L95" t="s">
        <v>2338</v>
      </c>
      <c r="M95">
        <v>68276</v>
      </c>
      <c r="N95">
        <v>22115</v>
      </c>
      <c r="O95">
        <v>90391</v>
      </c>
      <c r="P95" t="s">
        <v>2883</v>
      </c>
    </row>
    <row r="96" spans="1:16" x14ac:dyDescent="0.25">
      <c r="A96" t="s">
        <v>2105</v>
      </c>
      <c r="B96" t="s">
        <v>633</v>
      </c>
      <c r="C96" s="3">
        <v>45824</v>
      </c>
      <c r="D96" t="s">
        <v>1024</v>
      </c>
      <c r="E96">
        <v>7.99</v>
      </c>
      <c r="F96" t="s">
        <v>1208</v>
      </c>
      <c r="G96">
        <v>54</v>
      </c>
      <c r="H96" t="s">
        <v>2106</v>
      </c>
      <c r="I96" t="s">
        <v>2107</v>
      </c>
      <c r="J96">
        <v>14584</v>
      </c>
      <c r="K96">
        <v>9</v>
      </c>
      <c r="L96" t="s">
        <v>2077</v>
      </c>
      <c r="M96">
        <v>156813</v>
      </c>
      <c r="N96">
        <v>7380</v>
      </c>
      <c r="O96">
        <v>164193</v>
      </c>
      <c r="P96" t="s">
        <v>2883</v>
      </c>
    </row>
    <row r="97" spans="1:16" x14ac:dyDescent="0.25">
      <c r="A97" t="s">
        <v>1046</v>
      </c>
      <c r="B97" t="s">
        <v>785</v>
      </c>
      <c r="C97" s="3">
        <v>44097</v>
      </c>
      <c r="D97" t="s">
        <v>1024</v>
      </c>
      <c r="E97">
        <v>39.99</v>
      </c>
      <c r="F97" t="s">
        <v>1047</v>
      </c>
      <c r="H97" t="s">
        <v>1048</v>
      </c>
      <c r="I97" t="s">
        <v>1048</v>
      </c>
      <c r="J97">
        <v>14337</v>
      </c>
      <c r="K97">
        <v>8</v>
      </c>
      <c r="L97" t="s">
        <v>1022</v>
      </c>
      <c r="M97">
        <v>91416</v>
      </c>
      <c r="N97">
        <v>19364</v>
      </c>
      <c r="O97">
        <v>110780</v>
      </c>
      <c r="P97" t="s">
        <v>2883</v>
      </c>
    </row>
    <row r="98" spans="1:16" x14ac:dyDescent="0.25">
      <c r="A98" t="s">
        <v>2720</v>
      </c>
      <c r="B98" t="s">
        <v>715</v>
      </c>
      <c r="C98" s="3">
        <v>44510</v>
      </c>
      <c r="D98" t="s">
        <v>1019</v>
      </c>
      <c r="F98" t="s">
        <v>1020</v>
      </c>
      <c r="G98">
        <v>145</v>
      </c>
      <c r="H98" t="s">
        <v>2721</v>
      </c>
      <c r="I98" t="s">
        <v>2721</v>
      </c>
      <c r="J98">
        <v>14197</v>
      </c>
      <c r="K98">
        <v>6</v>
      </c>
      <c r="L98" t="s">
        <v>2338</v>
      </c>
      <c r="M98">
        <v>5914</v>
      </c>
      <c r="N98">
        <v>1535</v>
      </c>
      <c r="O98">
        <v>7449</v>
      </c>
      <c r="P98" t="s">
        <v>2882</v>
      </c>
    </row>
    <row r="99" spans="1:16" x14ac:dyDescent="0.25">
      <c r="A99" t="s">
        <v>1676</v>
      </c>
      <c r="B99" t="s">
        <v>271</v>
      </c>
      <c r="C99" s="3">
        <v>45806</v>
      </c>
      <c r="D99" t="s">
        <v>1024</v>
      </c>
      <c r="E99">
        <v>39.99</v>
      </c>
      <c r="F99" t="s">
        <v>1042</v>
      </c>
      <c r="G99">
        <v>37</v>
      </c>
      <c r="H99" t="s">
        <v>1304</v>
      </c>
      <c r="I99" t="s">
        <v>1304</v>
      </c>
      <c r="J99">
        <v>14035</v>
      </c>
      <c r="K99">
        <v>8</v>
      </c>
      <c r="L99" t="s">
        <v>1022</v>
      </c>
      <c r="M99">
        <v>83148</v>
      </c>
      <c r="N99">
        <v>12530</v>
      </c>
      <c r="O99">
        <v>95678</v>
      </c>
      <c r="P99" t="s">
        <v>2883</v>
      </c>
    </row>
    <row r="100" spans="1:16" x14ac:dyDescent="0.25">
      <c r="A100" t="s">
        <v>1224</v>
      </c>
      <c r="B100" t="s">
        <v>866</v>
      </c>
      <c r="C100" s="3">
        <v>45356</v>
      </c>
      <c r="D100" t="s">
        <v>1024</v>
      </c>
      <c r="E100">
        <v>39.99</v>
      </c>
      <c r="F100" t="s">
        <v>1208</v>
      </c>
      <c r="G100">
        <v>27</v>
      </c>
      <c r="H100" t="s">
        <v>1225</v>
      </c>
      <c r="I100" t="s">
        <v>1225</v>
      </c>
      <c r="J100">
        <v>13880</v>
      </c>
      <c r="K100">
        <v>8</v>
      </c>
      <c r="L100" t="s">
        <v>1022</v>
      </c>
      <c r="M100">
        <v>48151</v>
      </c>
      <c r="N100">
        <v>3083</v>
      </c>
      <c r="O100">
        <v>51234</v>
      </c>
      <c r="P100" t="s">
        <v>2883</v>
      </c>
    </row>
    <row r="101" spans="1:16" x14ac:dyDescent="0.25">
      <c r="A101" t="s">
        <v>1906</v>
      </c>
      <c r="B101" t="s">
        <v>801</v>
      </c>
      <c r="C101" s="3">
        <v>42499</v>
      </c>
      <c r="D101" t="s">
        <v>1024</v>
      </c>
      <c r="E101">
        <v>49.99</v>
      </c>
      <c r="F101" t="s">
        <v>1047</v>
      </c>
      <c r="G101">
        <v>219</v>
      </c>
      <c r="H101" t="s">
        <v>1845</v>
      </c>
      <c r="I101" t="s">
        <v>1846</v>
      </c>
      <c r="J101">
        <v>13672</v>
      </c>
      <c r="K101">
        <v>8</v>
      </c>
      <c r="L101" t="s">
        <v>1022</v>
      </c>
      <c r="M101">
        <v>90544</v>
      </c>
      <c r="N101">
        <v>14929</v>
      </c>
      <c r="O101">
        <v>105473</v>
      </c>
      <c r="P101" t="s">
        <v>2883</v>
      </c>
    </row>
    <row r="102" spans="1:16" x14ac:dyDescent="0.25">
      <c r="A102" t="s">
        <v>1677</v>
      </c>
      <c r="B102" t="s">
        <v>298</v>
      </c>
      <c r="C102" s="3">
        <v>42317</v>
      </c>
      <c r="D102" t="s">
        <v>1024</v>
      </c>
      <c r="E102">
        <v>19.989999999999998</v>
      </c>
      <c r="F102" t="s">
        <v>1042</v>
      </c>
      <c r="G102">
        <v>84</v>
      </c>
      <c r="H102" t="s">
        <v>1206</v>
      </c>
      <c r="I102" t="s">
        <v>1051</v>
      </c>
      <c r="J102">
        <v>13626</v>
      </c>
      <c r="K102">
        <v>8</v>
      </c>
      <c r="L102" t="s">
        <v>1022</v>
      </c>
      <c r="M102">
        <v>208434</v>
      </c>
      <c r="N102">
        <v>51941</v>
      </c>
      <c r="O102">
        <v>260375</v>
      </c>
      <c r="P102" t="s">
        <v>2883</v>
      </c>
    </row>
    <row r="103" spans="1:16" x14ac:dyDescent="0.25">
      <c r="A103" t="s">
        <v>2722</v>
      </c>
      <c r="B103" t="s">
        <v>601</v>
      </c>
      <c r="C103" s="3">
        <v>45482</v>
      </c>
      <c r="D103" t="s">
        <v>1019</v>
      </c>
      <c r="F103" t="s">
        <v>1020</v>
      </c>
      <c r="H103" t="s">
        <v>2723</v>
      </c>
      <c r="I103" t="s">
        <v>2723</v>
      </c>
      <c r="J103">
        <v>13541</v>
      </c>
      <c r="K103">
        <v>6</v>
      </c>
      <c r="L103" t="s">
        <v>2338</v>
      </c>
      <c r="M103">
        <v>68705</v>
      </c>
      <c r="N103">
        <v>17244</v>
      </c>
      <c r="O103">
        <v>85949</v>
      </c>
      <c r="P103" t="s">
        <v>2882</v>
      </c>
    </row>
    <row r="104" spans="1:16" x14ac:dyDescent="0.25">
      <c r="A104" t="s">
        <v>1794</v>
      </c>
      <c r="B104" t="s">
        <v>930</v>
      </c>
      <c r="C104" s="3">
        <v>42923</v>
      </c>
      <c r="D104" t="s">
        <v>1019</v>
      </c>
      <c r="F104" t="s">
        <v>1020</v>
      </c>
      <c r="G104">
        <v>95</v>
      </c>
      <c r="H104" t="s">
        <v>1795</v>
      </c>
      <c r="I104" t="s">
        <v>1795</v>
      </c>
      <c r="J104">
        <v>13467</v>
      </c>
      <c r="K104">
        <v>8</v>
      </c>
      <c r="L104" t="s">
        <v>1022</v>
      </c>
      <c r="M104">
        <v>200583</v>
      </c>
      <c r="N104">
        <v>20468</v>
      </c>
      <c r="O104">
        <v>221051</v>
      </c>
      <c r="P104" t="s">
        <v>2882</v>
      </c>
    </row>
    <row r="105" spans="1:16" x14ac:dyDescent="0.25">
      <c r="A105" t="s">
        <v>2355</v>
      </c>
      <c r="B105" t="s">
        <v>783</v>
      </c>
      <c r="C105" s="3">
        <v>46218</v>
      </c>
      <c r="D105" t="s">
        <v>1024</v>
      </c>
      <c r="E105">
        <v>14.99</v>
      </c>
      <c r="F105" t="s">
        <v>1026</v>
      </c>
      <c r="H105" t="s">
        <v>2356</v>
      </c>
      <c r="I105" t="s">
        <v>2356</v>
      </c>
      <c r="J105">
        <v>13373</v>
      </c>
      <c r="K105">
        <v>6</v>
      </c>
      <c r="L105" t="s">
        <v>2338</v>
      </c>
      <c r="M105">
        <v>736</v>
      </c>
      <c r="N105">
        <v>297</v>
      </c>
      <c r="O105">
        <v>1033</v>
      </c>
      <c r="P105" t="s">
        <v>2883</v>
      </c>
    </row>
    <row r="106" spans="1:16" x14ac:dyDescent="0.25">
      <c r="A106" t="s">
        <v>1792</v>
      </c>
      <c r="B106" t="s">
        <v>962</v>
      </c>
      <c r="C106" s="3">
        <v>45975</v>
      </c>
      <c r="D106" t="s">
        <v>1019</v>
      </c>
      <c r="F106" t="s">
        <v>1020</v>
      </c>
      <c r="G106">
        <v>61</v>
      </c>
      <c r="H106" t="s">
        <v>1793</v>
      </c>
      <c r="I106" t="s">
        <v>1788</v>
      </c>
      <c r="J106">
        <v>13257</v>
      </c>
      <c r="K106">
        <v>8</v>
      </c>
      <c r="L106" t="s">
        <v>1022</v>
      </c>
      <c r="M106">
        <v>54167</v>
      </c>
      <c r="N106">
        <v>8218</v>
      </c>
      <c r="O106">
        <v>62385</v>
      </c>
      <c r="P106" t="s">
        <v>2882</v>
      </c>
    </row>
    <row r="107" spans="1:16" x14ac:dyDescent="0.25">
      <c r="A107" t="s">
        <v>2108</v>
      </c>
      <c r="B107" t="s">
        <v>208</v>
      </c>
      <c r="C107" s="3">
        <v>45812</v>
      </c>
      <c r="D107" t="s">
        <v>1024</v>
      </c>
      <c r="E107">
        <v>24.99</v>
      </c>
      <c r="F107" t="s">
        <v>1042</v>
      </c>
      <c r="H107" t="s">
        <v>2109</v>
      </c>
      <c r="I107" t="s">
        <v>2109</v>
      </c>
      <c r="J107">
        <v>13142</v>
      </c>
      <c r="K107">
        <v>9</v>
      </c>
      <c r="L107" t="s">
        <v>2077</v>
      </c>
      <c r="M107">
        <v>83851</v>
      </c>
      <c r="N107">
        <v>1434</v>
      </c>
      <c r="O107">
        <v>85285</v>
      </c>
      <c r="P107" t="s">
        <v>2883</v>
      </c>
    </row>
    <row r="108" spans="1:16" x14ac:dyDescent="0.25">
      <c r="A108" t="s">
        <v>2624</v>
      </c>
      <c r="B108" t="s">
        <v>90</v>
      </c>
      <c r="C108" s="3">
        <v>42118</v>
      </c>
      <c r="D108" t="s">
        <v>1019</v>
      </c>
      <c r="F108" t="s">
        <v>1055</v>
      </c>
      <c r="H108" t="s">
        <v>2625</v>
      </c>
      <c r="I108" t="s">
        <v>2625</v>
      </c>
      <c r="J108">
        <v>13006</v>
      </c>
      <c r="K108">
        <v>9</v>
      </c>
      <c r="L108" t="s">
        <v>2077</v>
      </c>
      <c r="M108">
        <v>39708</v>
      </c>
      <c r="N108">
        <v>1619</v>
      </c>
      <c r="O108">
        <v>41327</v>
      </c>
      <c r="P108" t="s">
        <v>2882</v>
      </c>
    </row>
    <row r="109" spans="1:16" x14ac:dyDescent="0.25">
      <c r="A109" t="s">
        <v>2724</v>
      </c>
      <c r="B109" t="s">
        <v>409</v>
      </c>
      <c r="C109" s="3">
        <v>46038</v>
      </c>
      <c r="D109" t="s">
        <v>1019</v>
      </c>
      <c r="F109" t="s">
        <v>1020</v>
      </c>
      <c r="H109" t="s">
        <v>1593</v>
      </c>
      <c r="I109" t="s">
        <v>1593</v>
      </c>
      <c r="J109">
        <v>12956</v>
      </c>
      <c r="K109">
        <v>5</v>
      </c>
      <c r="L109" t="s">
        <v>2514</v>
      </c>
      <c r="M109">
        <v>4485</v>
      </c>
      <c r="N109">
        <v>3077</v>
      </c>
      <c r="O109">
        <v>7562</v>
      </c>
      <c r="P109" t="s">
        <v>2882</v>
      </c>
    </row>
    <row r="110" spans="1:16" x14ac:dyDescent="0.25">
      <c r="A110" t="s">
        <v>1228</v>
      </c>
      <c r="B110" t="s">
        <v>769</v>
      </c>
      <c r="C110" s="3">
        <v>45344</v>
      </c>
      <c r="D110" t="s">
        <v>1024</v>
      </c>
      <c r="E110">
        <v>29.99</v>
      </c>
      <c r="F110" t="s">
        <v>1110</v>
      </c>
      <c r="G110">
        <v>32</v>
      </c>
      <c r="H110" t="s">
        <v>1229</v>
      </c>
      <c r="I110" t="s">
        <v>1230</v>
      </c>
      <c r="J110">
        <v>12936</v>
      </c>
      <c r="K110">
        <v>8</v>
      </c>
      <c r="L110" t="s">
        <v>1022</v>
      </c>
      <c r="M110">
        <v>116645</v>
      </c>
      <c r="N110">
        <v>15488</v>
      </c>
      <c r="O110">
        <v>132133</v>
      </c>
      <c r="P110" t="s">
        <v>2883</v>
      </c>
    </row>
    <row r="111" spans="1:16" x14ac:dyDescent="0.25">
      <c r="A111" t="s">
        <v>1226</v>
      </c>
      <c r="B111" t="s">
        <v>172</v>
      </c>
      <c r="C111" s="3">
        <v>46100</v>
      </c>
      <c r="D111" t="s">
        <v>1024</v>
      </c>
      <c r="E111">
        <v>69.989999999999995</v>
      </c>
      <c r="F111" t="s">
        <v>1113</v>
      </c>
      <c r="G111">
        <v>34</v>
      </c>
      <c r="H111" t="s">
        <v>1227</v>
      </c>
      <c r="I111" t="s">
        <v>1227</v>
      </c>
      <c r="J111">
        <v>12923</v>
      </c>
      <c r="K111">
        <v>8</v>
      </c>
      <c r="L111" t="s">
        <v>1022</v>
      </c>
      <c r="M111">
        <v>65809</v>
      </c>
      <c r="N111">
        <v>10102</v>
      </c>
      <c r="O111">
        <v>75911</v>
      </c>
      <c r="P111" t="s">
        <v>2883</v>
      </c>
    </row>
    <row r="112" spans="1:16" x14ac:dyDescent="0.25">
      <c r="A112" t="s">
        <v>2110</v>
      </c>
      <c r="B112" t="s">
        <v>725</v>
      </c>
      <c r="C112" s="3">
        <v>45740</v>
      </c>
      <c r="D112" t="s">
        <v>1024</v>
      </c>
      <c r="E112">
        <v>19.989999999999998</v>
      </c>
      <c r="F112" t="s">
        <v>1026</v>
      </c>
      <c r="G112">
        <v>13</v>
      </c>
      <c r="H112" t="s">
        <v>2111</v>
      </c>
      <c r="I112" t="s">
        <v>2111</v>
      </c>
      <c r="J112">
        <v>12570</v>
      </c>
      <c r="K112">
        <v>9</v>
      </c>
      <c r="L112" t="s">
        <v>2077</v>
      </c>
      <c r="M112">
        <v>210925</v>
      </c>
      <c r="N112">
        <v>4538</v>
      </c>
      <c r="O112">
        <v>215463</v>
      </c>
      <c r="P112" t="s">
        <v>2883</v>
      </c>
    </row>
    <row r="113" spans="1:16" x14ac:dyDescent="0.25">
      <c r="A113" t="s">
        <v>1231</v>
      </c>
      <c r="B113" t="s">
        <v>47</v>
      </c>
      <c r="C113" s="3">
        <v>41992</v>
      </c>
      <c r="D113" t="s">
        <v>1024</v>
      </c>
      <c r="E113">
        <v>19.989999999999998</v>
      </c>
      <c r="F113" t="s">
        <v>1086</v>
      </c>
      <c r="G113">
        <v>709</v>
      </c>
      <c r="H113" t="s">
        <v>1087</v>
      </c>
      <c r="I113" t="s">
        <v>1088</v>
      </c>
      <c r="J113">
        <v>12434</v>
      </c>
      <c r="K113">
        <v>8</v>
      </c>
      <c r="L113" t="s">
        <v>1022</v>
      </c>
      <c r="M113">
        <v>70541</v>
      </c>
      <c r="N113">
        <v>5106</v>
      </c>
      <c r="O113">
        <v>75647</v>
      </c>
      <c r="P113" t="s">
        <v>2883</v>
      </c>
    </row>
    <row r="114" spans="1:16" x14ac:dyDescent="0.25">
      <c r="A114" t="s">
        <v>1678</v>
      </c>
      <c r="B114" t="s">
        <v>378</v>
      </c>
      <c r="C114" s="3">
        <v>46178</v>
      </c>
      <c r="D114" t="s">
        <v>1024</v>
      </c>
      <c r="E114">
        <v>49.99</v>
      </c>
      <c r="F114" t="s">
        <v>1042</v>
      </c>
      <c r="G114">
        <v>42</v>
      </c>
      <c r="H114" t="s">
        <v>1679</v>
      </c>
      <c r="I114" t="s">
        <v>1679</v>
      </c>
      <c r="J114">
        <v>12417</v>
      </c>
      <c r="K114">
        <v>8</v>
      </c>
      <c r="L114" t="s">
        <v>1022</v>
      </c>
      <c r="M114">
        <v>8311</v>
      </c>
      <c r="N114">
        <v>1463</v>
      </c>
      <c r="O114">
        <v>9774</v>
      </c>
      <c r="P114" t="s">
        <v>2883</v>
      </c>
    </row>
    <row r="115" spans="1:16" x14ac:dyDescent="0.25">
      <c r="A115" t="s">
        <v>2523</v>
      </c>
      <c r="B115" t="s">
        <v>544</v>
      </c>
      <c r="C115" s="3">
        <v>45715</v>
      </c>
      <c r="D115" t="s">
        <v>1024</v>
      </c>
      <c r="E115">
        <v>69.989999999999995</v>
      </c>
      <c r="F115" t="s">
        <v>1042</v>
      </c>
      <c r="G115">
        <v>50</v>
      </c>
      <c r="H115" t="s">
        <v>1233</v>
      </c>
      <c r="I115" t="s">
        <v>1233</v>
      </c>
      <c r="J115">
        <v>12230</v>
      </c>
      <c r="K115">
        <v>5</v>
      </c>
      <c r="L115" t="s">
        <v>2514</v>
      </c>
      <c r="M115">
        <v>80982</v>
      </c>
      <c r="N115">
        <v>38245</v>
      </c>
      <c r="O115">
        <v>119227</v>
      </c>
      <c r="P115" t="s">
        <v>2883</v>
      </c>
    </row>
    <row r="116" spans="1:16" x14ac:dyDescent="0.25">
      <c r="A116" t="s">
        <v>1049</v>
      </c>
      <c r="B116" t="s">
        <v>847</v>
      </c>
      <c r="C116" s="3">
        <v>42877</v>
      </c>
      <c r="D116" t="s">
        <v>1024</v>
      </c>
      <c r="E116">
        <v>19.989999999999998</v>
      </c>
      <c r="F116" t="s">
        <v>1042</v>
      </c>
      <c r="H116" t="s">
        <v>1050</v>
      </c>
      <c r="I116" t="s">
        <v>1051</v>
      </c>
      <c r="J116">
        <v>12224</v>
      </c>
      <c r="K116">
        <v>8</v>
      </c>
      <c r="L116" t="s">
        <v>1022</v>
      </c>
      <c r="M116">
        <v>70384</v>
      </c>
      <c r="N116">
        <v>17222</v>
      </c>
      <c r="O116">
        <v>87606</v>
      </c>
      <c r="P116" t="s">
        <v>2883</v>
      </c>
    </row>
    <row r="117" spans="1:16" x14ac:dyDescent="0.25">
      <c r="A117" t="s">
        <v>1234</v>
      </c>
      <c r="B117" t="s">
        <v>641</v>
      </c>
      <c r="C117" s="3">
        <v>44092</v>
      </c>
      <c r="D117" t="s">
        <v>1024</v>
      </c>
      <c r="E117">
        <v>19.989999999999998</v>
      </c>
      <c r="F117" t="s">
        <v>1026</v>
      </c>
      <c r="G117">
        <v>54</v>
      </c>
      <c r="H117" t="s">
        <v>1235</v>
      </c>
      <c r="I117" t="s">
        <v>1235</v>
      </c>
      <c r="J117">
        <v>12102</v>
      </c>
      <c r="K117">
        <v>8</v>
      </c>
      <c r="L117" t="s">
        <v>1022</v>
      </c>
      <c r="M117">
        <v>413548</v>
      </c>
      <c r="N117">
        <v>24940</v>
      </c>
      <c r="O117">
        <v>438488</v>
      </c>
      <c r="P117" t="s">
        <v>2883</v>
      </c>
    </row>
    <row r="118" spans="1:16" x14ac:dyDescent="0.25">
      <c r="A118" t="s">
        <v>2725</v>
      </c>
      <c r="B118" t="s">
        <v>106</v>
      </c>
      <c r="C118" s="3">
        <v>43025</v>
      </c>
      <c r="D118" t="s">
        <v>1019</v>
      </c>
      <c r="F118" t="s">
        <v>1020</v>
      </c>
      <c r="G118">
        <v>65</v>
      </c>
      <c r="H118" t="s">
        <v>2726</v>
      </c>
      <c r="I118" t="s">
        <v>1212</v>
      </c>
      <c r="J118">
        <v>11833</v>
      </c>
      <c r="K118">
        <v>6</v>
      </c>
      <c r="L118" t="s">
        <v>2338</v>
      </c>
      <c r="M118">
        <v>138075</v>
      </c>
      <c r="N118">
        <v>38670</v>
      </c>
      <c r="O118">
        <v>176745</v>
      </c>
      <c r="P118" t="s">
        <v>2882</v>
      </c>
    </row>
    <row r="119" spans="1:16" x14ac:dyDescent="0.25">
      <c r="A119" t="s">
        <v>1627</v>
      </c>
      <c r="B119" t="s">
        <v>165</v>
      </c>
      <c r="C119" s="3">
        <v>36831</v>
      </c>
      <c r="D119" t="s">
        <v>1024</v>
      </c>
      <c r="E119">
        <v>9.99</v>
      </c>
      <c r="F119" t="s">
        <v>1189</v>
      </c>
      <c r="H119" t="s">
        <v>1021</v>
      </c>
      <c r="I119" t="s">
        <v>1021</v>
      </c>
      <c r="J119">
        <v>11820</v>
      </c>
      <c r="K119">
        <v>9</v>
      </c>
      <c r="L119" t="s">
        <v>2077</v>
      </c>
      <c r="M119">
        <v>60167</v>
      </c>
      <c r="N119">
        <v>1661</v>
      </c>
      <c r="O119">
        <v>61828</v>
      </c>
      <c r="P119" t="s">
        <v>2883</v>
      </c>
    </row>
    <row r="120" spans="1:16" x14ac:dyDescent="0.25">
      <c r="A120" t="s">
        <v>1907</v>
      </c>
      <c r="B120" t="s">
        <v>286</v>
      </c>
      <c r="C120" s="3">
        <v>41499</v>
      </c>
      <c r="D120" t="s">
        <v>1024</v>
      </c>
      <c r="E120">
        <v>49.99</v>
      </c>
      <c r="F120" t="s">
        <v>1047</v>
      </c>
      <c r="G120">
        <v>373</v>
      </c>
      <c r="H120" t="s">
        <v>1845</v>
      </c>
      <c r="I120" t="s">
        <v>1846</v>
      </c>
      <c r="J120">
        <v>11543</v>
      </c>
      <c r="K120">
        <v>8</v>
      </c>
      <c r="L120" t="s">
        <v>1022</v>
      </c>
      <c r="M120">
        <v>60180</v>
      </c>
      <c r="N120">
        <v>8732</v>
      </c>
      <c r="O120">
        <v>68912</v>
      </c>
      <c r="P120" t="s">
        <v>2883</v>
      </c>
    </row>
    <row r="121" spans="1:16" x14ac:dyDescent="0.25">
      <c r="A121" t="s">
        <v>2524</v>
      </c>
      <c r="B121" t="s">
        <v>721</v>
      </c>
      <c r="C121" s="3">
        <v>46195</v>
      </c>
      <c r="D121" t="s">
        <v>1024</v>
      </c>
      <c r="E121">
        <v>24.99</v>
      </c>
      <c r="F121" t="s">
        <v>1026</v>
      </c>
      <c r="G121">
        <v>20</v>
      </c>
      <c r="H121" t="s">
        <v>2525</v>
      </c>
      <c r="I121" t="s">
        <v>1394</v>
      </c>
      <c r="J121">
        <v>11431</v>
      </c>
      <c r="K121">
        <v>5</v>
      </c>
      <c r="L121" t="s">
        <v>2514</v>
      </c>
      <c r="M121">
        <v>3811</v>
      </c>
      <c r="N121">
        <v>3478</v>
      </c>
      <c r="O121">
        <v>7289</v>
      </c>
      <c r="P121" t="s">
        <v>2883</v>
      </c>
    </row>
    <row r="122" spans="1:16" x14ac:dyDescent="0.25">
      <c r="A122" t="s">
        <v>1237</v>
      </c>
      <c r="B122" t="s">
        <v>23</v>
      </c>
      <c r="C122" s="3">
        <v>43420</v>
      </c>
      <c r="D122" t="s">
        <v>1024</v>
      </c>
      <c r="E122">
        <v>4.99</v>
      </c>
      <c r="F122" t="s">
        <v>1029</v>
      </c>
      <c r="G122">
        <v>33</v>
      </c>
      <c r="H122" t="s">
        <v>1238</v>
      </c>
      <c r="I122" t="s">
        <v>1238</v>
      </c>
      <c r="J122">
        <v>11429</v>
      </c>
      <c r="K122">
        <v>8</v>
      </c>
      <c r="L122" t="s">
        <v>1022</v>
      </c>
      <c r="M122">
        <v>395331</v>
      </c>
      <c r="N122">
        <v>34301</v>
      </c>
      <c r="O122">
        <v>429632</v>
      </c>
      <c r="P122" t="s">
        <v>2883</v>
      </c>
    </row>
    <row r="123" spans="1:16" x14ac:dyDescent="0.25">
      <c r="A123" t="s">
        <v>1796</v>
      </c>
      <c r="B123" t="s">
        <v>700</v>
      </c>
      <c r="C123" s="3">
        <v>45778</v>
      </c>
      <c r="D123" t="s">
        <v>1019</v>
      </c>
      <c r="F123" t="s">
        <v>1020</v>
      </c>
      <c r="G123">
        <v>670</v>
      </c>
      <c r="H123" t="s">
        <v>1797</v>
      </c>
      <c r="I123" t="s">
        <v>1797</v>
      </c>
      <c r="J123">
        <v>11352</v>
      </c>
      <c r="K123">
        <v>8</v>
      </c>
      <c r="L123" t="s">
        <v>1022</v>
      </c>
      <c r="M123">
        <v>6038</v>
      </c>
      <c r="N123">
        <v>964</v>
      </c>
      <c r="O123">
        <v>7002</v>
      </c>
      <c r="P123" t="s">
        <v>2882</v>
      </c>
    </row>
    <row r="124" spans="1:16" x14ac:dyDescent="0.25">
      <c r="A124" t="s">
        <v>2730</v>
      </c>
      <c r="B124" t="s">
        <v>990</v>
      </c>
      <c r="C124" s="3">
        <v>44579</v>
      </c>
      <c r="D124" t="s">
        <v>1019</v>
      </c>
      <c r="F124" t="s">
        <v>1020</v>
      </c>
      <c r="G124">
        <v>11</v>
      </c>
      <c r="H124" t="s">
        <v>1418</v>
      </c>
      <c r="I124" t="s">
        <v>1418</v>
      </c>
      <c r="J124">
        <v>11218</v>
      </c>
      <c r="K124">
        <v>6</v>
      </c>
      <c r="L124" t="s">
        <v>2338</v>
      </c>
      <c r="M124">
        <v>35414</v>
      </c>
      <c r="N124">
        <v>13067</v>
      </c>
      <c r="O124">
        <v>48481</v>
      </c>
      <c r="P124" t="s">
        <v>2882</v>
      </c>
    </row>
    <row r="125" spans="1:16" x14ac:dyDescent="0.25">
      <c r="A125" t="s">
        <v>1232</v>
      </c>
      <c r="B125" t="s">
        <v>545</v>
      </c>
      <c r="C125" s="3">
        <v>43320</v>
      </c>
      <c r="D125" t="s">
        <v>1024</v>
      </c>
      <c r="E125">
        <v>29.99</v>
      </c>
      <c r="F125" t="s">
        <v>1189</v>
      </c>
      <c r="G125">
        <v>100</v>
      </c>
      <c r="H125" t="s">
        <v>1233</v>
      </c>
      <c r="I125" t="s">
        <v>1233</v>
      </c>
      <c r="J125">
        <v>11129</v>
      </c>
      <c r="K125">
        <v>8</v>
      </c>
      <c r="L125" t="s">
        <v>1022</v>
      </c>
      <c r="M125">
        <v>157202</v>
      </c>
      <c r="N125">
        <v>13788</v>
      </c>
      <c r="O125">
        <v>170990</v>
      </c>
      <c r="P125" t="s">
        <v>2883</v>
      </c>
    </row>
    <row r="126" spans="1:16" x14ac:dyDescent="0.25">
      <c r="A126" t="s">
        <v>2526</v>
      </c>
      <c r="B126" t="s">
        <v>143</v>
      </c>
      <c r="C126" s="3">
        <v>45223</v>
      </c>
      <c r="D126" t="s">
        <v>1024</v>
      </c>
      <c r="E126">
        <v>49.99</v>
      </c>
      <c r="F126" t="s">
        <v>1110</v>
      </c>
      <c r="G126">
        <v>44</v>
      </c>
      <c r="H126" t="s">
        <v>2527</v>
      </c>
      <c r="I126" t="s">
        <v>1846</v>
      </c>
      <c r="J126">
        <v>10955</v>
      </c>
      <c r="K126">
        <v>5</v>
      </c>
      <c r="L126" t="s">
        <v>2514</v>
      </c>
      <c r="M126">
        <v>25200</v>
      </c>
      <c r="N126">
        <v>20000</v>
      </c>
      <c r="O126">
        <v>45200</v>
      </c>
      <c r="P126" t="s">
        <v>2883</v>
      </c>
    </row>
    <row r="127" spans="1:16" x14ac:dyDescent="0.25">
      <c r="A127" t="s">
        <v>2528</v>
      </c>
      <c r="B127" t="s">
        <v>287</v>
      </c>
      <c r="C127" s="3">
        <v>45965</v>
      </c>
      <c r="D127" t="s">
        <v>1024</v>
      </c>
      <c r="E127">
        <v>59.99</v>
      </c>
      <c r="F127" t="s">
        <v>1047</v>
      </c>
      <c r="G127">
        <v>75</v>
      </c>
      <c r="H127" t="s">
        <v>2529</v>
      </c>
      <c r="I127" t="s">
        <v>1846</v>
      </c>
      <c r="J127">
        <v>10844</v>
      </c>
      <c r="K127">
        <v>5</v>
      </c>
      <c r="L127" t="s">
        <v>2514</v>
      </c>
      <c r="M127">
        <v>11087</v>
      </c>
      <c r="N127">
        <v>4803</v>
      </c>
      <c r="O127">
        <v>15890</v>
      </c>
      <c r="P127" t="s">
        <v>2883</v>
      </c>
    </row>
    <row r="128" spans="1:16" x14ac:dyDescent="0.25">
      <c r="A128" t="s">
        <v>1798</v>
      </c>
      <c r="B128" t="s">
        <v>807</v>
      </c>
      <c r="C128" s="3">
        <v>46220</v>
      </c>
      <c r="D128" t="s">
        <v>1019</v>
      </c>
      <c r="F128" t="s">
        <v>1026</v>
      </c>
      <c r="G128">
        <v>20</v>
      </c>
      <c r="H128" t="s">
        <v>1799</v>
      </c>
      <c r="I128" t="s">
        <v>1799</v>
      </c>
      <c r="J128">
        <v>10841</v>
      </c>
      <c r="K128">
        <v>8</v>
      </c>
      <c r="L128" t="s">
        <v>1022</v>
      </c>
      <c r="M128">
        <v>464</v>
      </c>
      <c r="N128">
        <v>114</v>
      </c>
      <c r="O128">
        <v>578</v>
      </c>
      <c r="P128" t="s">
        <v>2882</v>
      </c>
    </row>
    <row r="129" spans="1:16" x14ac:dyDescent="0.25">
      <c r="A129" t="s">
        <v>2357</v>
      </c>
      <c r="B129" t="s">
        <v>730</v>
      </c>
      <c r="C129" s="3">
        <v>45825</v>
      </c>
      <c r="D129" t="s">
        <v>1024</v>
      </c>
      <c r="E129">
        <v>44.99</v>
      </c>
      <c r="F129" t="s">
        <v>1268</v>
      </c>
      <c r="G129">
        <v>69</v>
      </c>
      <c r="H129" t="s">
        <v>2358</v>
      </c>
      <c r="I129" t="s">
        <v>2358</v>
      </c>
      <c r="J129">
        <v>10622</v>
      </c>
      <c r="K129">
        <v>6</v>
      </c>
      <c r="L129" t="s">
        <v>2338</v>
      </c>
      <c r="M129">
        <v>34512</v>
      </c>
      <c r="N129">
        <v>12608</v>
      </c>
      <c r="O129">
        <v>47120</v>
      </c>
      <c r="P129" t="s">
        <v>2883</v>
      </c>
    </row>
    <row r="130" spans="1:16" x14ac:dyDescent="0.25">
      <c r="A130" t="s">
        <v>1239</v>
      </c>
      <c r="B130" t="s">
        <v>585</v>
      </c>
      <c r="C130" s="3">
        <v>42594</v>
      </c>
      <c r="D130" t="s">
        <v>1024</v>
      </c>
      <c r="E130">
        <v>59.99</v>
      </c>
      <c r="F130" t="s">
        <v>1113</v>
      </c>
      <c r="G130">
        <v>27</v>
      </c>
      <c r="H130" t="s">
        <v>1240</v>
      </c>
      <c r="I130" t="s">
        <v>1240</v>
      </c>
      <c r="J130">
        <v>10560</v>
      </c>
      <c r="K130">
        <v>8</v>
      </c>
      <c r="L130" t="s">
        <v>1022</v>
      </c>
      <c r="M130">
        <v>192561</v>
      </c>
      <c r="N130">
        <v>38780</v>
      </c>
      <c r="O130">
        <v>231341</v>
      </c>
      <c r="P130" t="s">
        <v>2883</v>
      </c>
    </row>
    <row r="131" spans="1:16" x14ac:dyDescent="0.25">
      <c r="A131" t="s">
        <v>1052</v>
      </c>
      <c r="B131" t="s">
        <v>396</v>
      </c>
      <c r="C131" s="3">
        <v>46219</v>
      </c>
      <c r="D131" t="s">
        <v>1019</v>
      </c>
      <c r="F131" t="s">
        <v>1047</v>
      </c>
      <c r="H131" t="s">
        <v>1053</v>
      </c>
      <c r="I131" t="s">
        <v>1053</v>
      </c>
      <c r="J131">
        <v>10540</v>
      </c>
      <c r="K131">
        <v>8</v>
      </c>
      <c r="L131" t="s">
        <v>1022</v>
      </c>
      <c r="M131">
        <v>318</v>
      </c>
      <c r="N131">
        <v>19</v>
      </c>
      <c r="O131">
        <v>337</v>
      </c>
      <c r="P131" t="s">
        <v>2882</v>
      </c>
    </row>
    <row r="132" spans="1:16" x14ac:dyDescent="0.25">
      <c r="A132" t="s">
        <v>2731</v>
      </c>
      <c r="B132" t="s">
        <v>598</v>
      </c>
      <c r="C132" s="3">
        <v>45855</v>
      </c>
      <c r="D132" t="s">
        <v>1019</v>
      </c>
      <c r="F132" t="s">
        <v>1020</v>
      </c>
      <c r="H132" t="s">
        <v>2732</v>
      </c>
      <c r="I132" t="s">
        <v>2732</v>
      </c>
      <c r="J132">
        <v>10444</v>
      </c>
      <c r="K132">
        <v>5</v>
      </c>
      <c r="L132" t="s">
        <v>2514</v>
      </c>
      <c r="M132">
        <v>851</v>
      </c>
      <c r="N132">
        <v>522</v>
      </c>
      <c r="O132">
        <v>1373</v>
      </c>
      <c r="P132" t="s">
        <v>2882</v>
      </c>
    </row>
    <row r="133" spans="1:16" x14ac:dyDescent="0.25">
      <c r="A133" t="s">
        <v>2727</v>
      </c>
      <c r="B133" t="s">
        <v>539</v>
      </c>
      <c r="C133" s="3">
        <v>44433</v>
      </c>
      <c r="D133" t="s">
        <v>1019</v>
      </c>
      <c r="F133" t="s">
        <v>1020</v>
      </c>
      <c r="H133" t="s">
        <v>2728</v>
      </c>
      <c r="I133" t="s">
        <v>2729</v>
      </c>
      <c r="J133">
        <v>10442</v>
      </c>
      <c r="K133">
        <v>5</v>
      </c>
      <c r="L133" t="s">
        <v>2514</v>
      </c>
      <c r="M133">
        <v>2809</v>
      </c>
      <c r="N133">
        <v>1385</v>
      </c>
      <c r="O133">
        <v>4194</v>
      </c>
      <c r="P133" t="s">
        <v>2882</v>
      </c>
    </row>
    <row r="134" spans="1:16" x14ac:dyDescent="0.25">
      <c r="A134" t="s">
        <v>2359</v>
      </c>
      <c r="B134" t="s">
        <v>156</v>
      </c>
      <c r="C134" s="3">
        <v>43228</v>
      </c>
      <c r="D134" t="s">
        <v>1024</v>
      </c>
      <c r="E134">
        <v>39.99</v>
      </c>
      <c r="F134" t="s">
        <v>1047</v>
      </c>
      <c r="G134">
        <v>36</v>
      </c>
      <c r="H134" t="s">
        <v>2360</v>
      </c>
      <c r="I134" t="s">
        <v>2360</v>
      </c>
      <c r="J134">
        <v>10099</v>
      </c>
      <c r="K134">
        <v>6</v>
      </c>
      <c r="L134" t="s">
        <v>2338</v>
      </c>
      <c r="M134">
        <v>45217</v>
      </c>
      <c r="N134">
        <v>11856</v>
      </c>
      <c r="O134">
        <v>57073</v>
      </c>
      <c r="P134" t="s">
        <v>2883</v>
      </c>
    </row>
    <row r="135" spans="1:16" x14ac:dyDescent="0.25">
      <c r="A135" t="s">
        <v>1241</v>
      </c>
      <c r="B135" t="s">
        <v>278</v>
      </c>
      <c r="C135" s="3">
        <v>45315</v>
      </c>
      <c r="D135" t="s">
        <v>1024</v>
      </c>
      <c r="E135">
        <v>29.99</v>
      </c>
      <c r="F135" t="s">
        <v>1026</v>
      </c>
      <c r="G135">
        <v>52</v>
      </c>
      <c r="H135" t="s">
        <v>1242</v>
      </c>
      <c r="I135" t="s">
        <v>1242</v>
      </c>
      <c r="J135">
        <v>10033</v>
      </c>
      <c r="K135">
        <v>8</v>
      </c>
      <c r="L135" t="s">
        <v>1022</v>
      </c>
      <c r="M135">
        <v>46905</v>
      </c>
      <c r="N135">
        <v>6941</v>
      </c>
      <c r="O135">
        <v>53846</v>
      </c>
      <c r="P135" t="s">
        <v>2883</v>
      </c>
    </row>
    <row r="136" spans="1:16" x14ac:dyDescent="0.25">
      <c r="A136" t="s">
        <v>1908</v>
      </c>
      <c r="B136" t="s">
        <v>13</v>
      </c>
      <c r="C136" s="3">
        <v>44497</v>
      </c>
      <c r="D136" t="s">
        <v>1024</v>
      </c>
      <c r="E136">
        <v>39.99</v>
      </c>
      <c r="F136" t="s">
        <v>1047</v>
      </c>
      <c r="G136">
        <v>175</v>
      </c>
      <c r="H136" t="s">
        <v>1825</v>
      </c>
      <c r="I136" t="s">
        <v>1106</v>
      </c>
      <c r="J136">
        <v>10020</v>
      </c>
      <c r="K136">
        <v>8</v>
      </c>
      <c r="L136" t="s">
        <v>1022</v>
      </c>
      <c r="M136">
        <v>30866</v>
      </c>
      <c r="N136">
        <v>5128</v>
      </c>
      <c r="O136">
        <v>35994</v>
      </c>
      <c r="P136" t="s">
        <v>2883</v>
      </c>
    </row>
    <row r="137" spans="1:16" x14ac:dyDescent="0.25">
      <c r="A137" t="s">
        <v>2735</v>
      </c>
      <c r="B137" t="s">
        <v>504</v>
      </c>
      <c r="C137" s="3">
        <v>45069</v>
      </c>
      <c r="D137" t="s">
        <v>1019</v>
      </c>
      <c r="F137" t="s">
        <v>1020</v>
      </c>
      <c r="H137" t="s">
        <v>2736</v>
      </c>
      <c r="I137" t="s">
        <v>2736</v>
      </c>
      <c r="J137">
        <v>9999</v>
      </c>
      <c r="K137">
        <v>5</v>
      </c>
      <c r="L137" t="s">
        <v>2514</v>
      </c>
      <c r="M137">
        <v>12700</v>
      </c>
      <c r="N137">
        <v>8918</v>
      </c>
      <c r="O137">
        <v>21618</v>
      </c>
      <c r="P137" t="s">
        <v>2882</v>
      </c>
    </row>
    <row r="138" spans="1:16" x14ac:dyDescent="0.25">
      <c r="A138" t="s">
        <v>2733</v>
      </c>
      <c r="B138" t="s">
        <v>19</v>
      </c>
      <c r="C138" s="3">
        <v>43236</v>
      </c>
      <c r="D138" t="s">
        <v>1019</v>
      </c>
      <c r="F138" t="s">
        <v>1020</v>
      </c>
      <c r="G138">
        <v>154</v>
      </c>
      <c r="H138" t="s">
        <v>2734</v>
      </c>
      <c r="I138" t="s">
        <v>2734</v>
      </c>
      <c r="J138">
        <v>9995</v>
      </c>
      <c r="K138">
        <v>6</v>
      </c>
      <c r="L138" t="s">
        <v>2338</v>
      </c>
      <c r="M138">
        <v>20240</v>
      </c>
      <c r="N138">
        <v>6889</v>
      </c>
      <c r="O138">
        <v>27129</v>
      </c>
      <c r="P138" t="s">
        <v>2882</v>
      </c>
    </row>
    <row r="139" spans="1:16" x14ac:dyDescent="0.25">
      <c r="A139" t="s">
        <v>1236</v>
      </c>
      <c r="B139" t="s">
        <v>806</v>
      </c>
      <c r="C139" s="3">
        <v>45078</v>
      </c>
      <c r="D139" t="s">
        <v>1024</v>
      </c>
      <c r="E139">
        <v>39.99</v>
      </c>
      <c r="F139" t="s">
        <v>1113</v>
      </c>
      <c r="G139">
        <v>43</v>
      </c>
      <c r="H139" t="s">
        <v>1233</v>
      </c>
      <c r="I139" t="s">
        <v>1233</v>
      </c>
      <c r="J139">
        <v>9798</v>
      </c>
      <c r="K139">
        <v>8</v>
      </c>
      <c r="L139" t="s">
        <v>1022</v>
      </c>
      <c r="M139">
        <v>25228</v>
      </c>
      <c r="N139">
        <v>4854</v>
      </c>
      <c r="O139">
        <v>30082</v>
      </c>
      <c r="P139" t="s">
        <v>2883</v>
      </c>
    </row>
    <row r="140" spans="1:16" x14ac:dyDescent="0.25">
      <c r="A140" t="s">
        <v>2113</v>
      </c>
      <c r="B140" t="s">
        <v>160</v>
      </c>
      <c r="C140" s="3">
        <v>44440</v>
      </c>
      <c r="D140" t="s">
        <v>1024</v>
      </c>
      <c r="E140">
        <v>4.99</v>
      </c>
      <c r="F140" t="s">
        <v>1047</v>
      </c>
      <c r="G140">
        <v>637</v>
      </c>
      <c r="H140" t="s">
        <v>2114</v>
      </c>
      <c r="I140" t="s">
        <v>1840</v>
      </c>
      <c r="J140">
        <v>9785</v>
      </c>
      <c r="K140">
        <v>9</v>
      </c>
      <c r="L140" t="s">
        <v>2077</v>
      </c>
      <c r="M140">
        <v>54632</v>
      </c>
      <c r="N140">
        <v>2022</v>
      </c>
      <c r="O140">
        <v>56654</v>
      </c>
      <c r="P140" t="s">
        <v>2883</v>
      </c>
    </row>
    <row r="141" spans="1:16" x14ac:dyDescent="0.25">
      <c r="A141" t="s">
        <v>2530</v>
      </c>
      <c r="B141" t="s">
        <v>743</v>
      </c>
      <c r="C141" s="3">
        <v>45698</v>
      </c>
      <c r="D141" t="s">
        <v>1024</v>
      </c>
      <c r="E141">
        <v>99.99</v>
      </c>
      <c r="F141" t="s">
        <v>1047</v>
      </c>
      <c r="G141">
        <v>37</v>
      </c>
      <c r="H141" t="s">
        <v>1122</v>
      </c>
      <c r="I141" t="s">
        <v>1123</v>
      </c>
      <c r="J141">
        <v>9550</v>
      </c>
      <c r="K141">
        <v>5</v>
      </c>
      <c r="L141" t="s">
        <v>2514</v>
      </c>
      <c r="M141">
        <v>18127</v>
      </c>
      <c r="N141">
        <v>17363</v>
      </c>
      <c r="O141">
        <v>35490</v>
      </c>
      <c r="P141" t="s">
        <v>2883</v>
      </c>
    </row>
    <row r="142" spans="1:16" x14ac:dyDescent="0.25">
      <c r="A142" t="s">
        <v>2115</v>
      </c>
      <c r="B142" t="s">
        <v>424</v>
      </c>
      <c r="C142" s="3">
        <v>42790</v>
      </c>
      <c r="D142" t="s">
        <v>1024</v>
      </c>
      <c r="E142">
        <v>14.99</v>
      </c>
      <c r="F142" t="s">
        <v>1208</v>
      </c>
      <c r="G142">
        <v>63</v>
      </c>
      <c r="H142" t="s">
        <v>1244</v>
      </c>
      <c r="I142" t="s">
        <v>1244</v>
      </c>
      <c r="J142">
        <v>9546</v>
      </c>
      <c r="K142">
        <v>9</v>
      </c>
      <c r="L142" t="s">
        <v>2077</v>
      </c>
      <c r="M142">
        <v>200706</v>
      </c>
      <c r="N142">
        <v>6344</v>
      </c>
      <c r="O142">
        <v>207050</v>
      </c>
      <c r="P142" t="s">
        <v>2883</v>
      </c>
    </row>
    <row r="143" spans="1:16" x14ac:dyDescent="0.25">
      <c r="A143" t="s">
        <v>2116</v>
      </c>
      <c r="B143" t="s">
        <v>92</v>
      </c>
      <c r="C143" s="3">
        <v>43451</v>
      </c>
      <c r="D143" t="s">
        <v>1024</v>
      </c>
      <c r="E143">
        <v>13.99</v>
      </c>
      <c r="F143" t="s">
        <v>1047</v>
      </c>
      <c r="G143">
        <v>156</v>
      </c>
      <c r="H143" t="s">
        <v>1196</v>
      </c>
      <c r="I143" t="s">
        <v>1196</v>
      </c>
      <c r="J143">
        <v>9477</v>
      </c>
      <c r="K143">
        <v>9</v>
      </c>
      <c r="L143" t="s">
        <v>2077</v>
      </c>
      <c r="M143">
        <v>250058</v>
      </c>
      <c r="N143">
        <v>6989</v>
      </c>
      <c r="O143">
        <v>257047</v>
      </c>
      <c r="P143" t="s">
        <v>2883</v>
      </c>
    </row>
    <row r="144" spans="1:16" x14ac:dyDescent="0.25">
      <c r="A144" t="s">
        <v>2361</v>
      </c>
      <c r="B144" t="s">
        <v>680</v>
      </c>
      <c r="C144" s="3">
        <v>45273</v>
      </c>
      <c r="D144" t="s">
        <v>1024</v>
      </c>
      <c r="E144">
        <v>49.99</v>
      </c>
      <c r="F144" t="s">
        <v>1208</v>
      </c>
      <c r="G144">
        <v>66</v>
      </c>
      <c r="H144" t="s">
        <v>2362</v>
      </c>
      <c r="I144" t="s">
        <v>2362</v>
      </c>
      <c r="J144">
        <v>9444</v>
      </c>
      <c r="K144">
        <v>6</v>
      </c>
      <c r="L144" t="s">
        <v>2338</v>
      </c>
      <c r="M144">
        <v>143817</v>
      </c>
      <c r="N144">
        <v>45171</v>
      </c>
      <c r="O144">
        <v>188988</v>
      </c>
      <c r="P144" t="s">
        <v>2883</v>
      </c>
    </row>
    <row r="145" spans="1:16" x14ac:dyDescent="0.25">
      <c r="A145" t="s">
        <v>1243</v>
      </c>
      <c r="B145" t="s">
        <v>425</v>
      </c>
      <c r="C145" s="3">
        <v>45904</v>
      </c>
      <c r="D145" t="s">
        <v>1024</v>
      </c>
      <c r="E145">
        <v>19.989999999999998</v>
      </c>
      <c r="F145" t="s">
        <v>1208</v>
      </c>
      <c r="G145">
        <v>52</v>
      </c>
      <c r="H145" t="s">
        <v>1244</v>
      </c>
      <c r="I145" t="s">
        <v>1244</v>
      </c>
      <c r="J145">
        <v>9427</v>
      </c>
      <c r="K145">
        <v>8</v>
      </c>
      <c r="L145" t="s">
        <v>1022</v>
      </c>
      <c r="M145">
        <v>147586</v>
      </c>
      <c r="N145">
        <v>10750</v>
      </c>
      <c r="O145">
        <v>158336</v>
      </c>
      <c r="P145" t="s">
        <v>2883</v>
      </c>
    </row>
    <row r="146" spans="1:16" x14ac:dyDescent="0.25">
      <c r="A146" t="s">
        <v>2112</v>
      </c>
      <c r="B146" t="s">
        <v>616</v>
      </c>
      <c r="C146" s="3">
        <v>43676</v>
      </c>
      <c r="D146" t="s">
        <v>1024</v>
      </c>
      <c r="E146">
        <v>24.99</v>
      </c>
      <c r="F146" t="s">
        <v>1110</v>
      </c>
      <c r="G146">
        <v>51</v>
      </c>
      <c r="H146" t="s">
        <v>2097</v>
      </c>
      <c r="I146" t="s">
        <v>2097</v>
      </c>
      <c r="J146">
        <v>9352</v>
      </c>
      <c r="K146">
        <v>9</v>
      </c>
      <c r="L146" t="s">
        <v>2077</v>
      </c>
      <c r="M146">
        <v>49950</v>
      </c>
      <c r="N146">
        <v>2163</v>
      </c>
      <c r="O146">
        <v>52113</v>
      </c>
      <c r="P146" t="s">
        <v>2883</v>
      </c>
    </row>
    <row r="147" spans="1:16" x14ac:dyDescent="0.25">
      <c r="A147" t="s">
        <v>1909</v>
      </c>
      <c r="B147" t="s">
        <v>953</v>
      </c>
      <c r="C147" s="3">
        <v>45267</v>
      </c>
      <c r="D147" t="s">
        <v>1024</v>
      </c>
      <c r="E147">
        <v>49.99</v>
      </c>
      <c r="F147" t="s">
        <v>1047</v>
      </c>
      <c r="G147">
        <v>133</v>
      </c>
      <c r="H147" t="s">
        <v>1910</v>
      </c>
      <c r="I147" t="s">
        <v>1910</v>
      </c>
      <c r="J147">
        <v>9254</v>
      </c>
      <c r="K147">
        <v>8</v>
      </c>
      <c r="L147" t="s">
        <v>1022</v>
      </c>
      <c r="M147">
        <v>22640</v>
      </c>
      <c r="N147">
        <v>3495</v>
      </c>
      <c r="O147">
        <v>26135</v>
      </c>
      <c r="P147" t="s">
        <v>2883</v>
      </c>
    </row>
    <row r="148" spans="1:16" x14ac:dyDescent="0.25">
      <c r="A148" t="s">
        <v>2628</v>
      </c>
      <c r="B148" t="s">
        <v>686</v>
      </c>
      <c r="C148" s="3"/>
      <c r="D148" t="s">
        <v>1024</v>
      </c>
      <c r="F148" t="s">
        <v>2892</v>
      </c>
      <c r="H148" t="s">
        <v>1002</v>
      </c>
      <c r="I148" t="s">
        <v>1002</v>
      </c>
      <c r="J148">
        <v>9196</v>
      </c>
      <c r="K148">
        <v>0</v>
      </c>
      <c r="L148" t="s">
        <v>2629</v>
      </c>
      <c r="M148">
        <v>3</v>
      </c>
      <c r="N148">
        <v>1</v>
      </c>
      <c r="O148">
        <v>4</v>
      </c>
      <c r="P148" t="s">
        <v>2883</v>
      </c>
    </row>
    <row r="149" spans="1:16" x14ac:dyDescent="0.25">
      <c r="A149" t="s">
        <v>1054</v>
      </c>
      <c r="B149" t="s">
        <v>940</v>
      </c>
      <c r="C149" s="3">
        <v>44267</v>
      </c>
      <c r="D149" t="s">
        <v>1019</v>
      </c>
      <c r="F149" t="s">
        <v>1055</v>
      </c>
      <c r="H149" t="s">
        <v>1056</v>
      </c>
      <c r="I149" t="s">
        <v>1056</v>
      </c>
      <c r="J149">
        <v>8978</v>
      </c>
      <c r="K149">
        <v>8</v>
      </c>
      <c r="L149" t="s">
        <v>1022</v>
      </c>
      <c r="M149">
        <v>3103</v>
      </c>
      <c r="N149">
        <v>243</v>
      </c>
      <c r="O149">
        <v>3346</v>
      </c>
      <c r="P149" t="s">
        <v>2882</v>
      </c>
    </row>
    <row r="150" spans="1:16" x14ac:dyDescent="0.25">
      <c r="A150" t="s">
        <v>2737</v>
      </c>
      <c r="B150" t="s">
        <v>441</v>
      </c>
      <c r="C150" s="3">
        <v>45967</v>
      </c>
      <c r="D150" t="s">
        <v>1019</v>
      </c>
      <c r="F150" t="s">
        <v>1020</v>
      </c>
      <c r="G150">
        <v>276</v>
      </c>
      <c r="H150" t="s">
        <v>1442</v>
      </c>
      <c r="I150" t="s">
        <v>1442</v>
      </c>
      <c r="J150">
        <v>8955</v>
      </c>
      <c r="K150">
        <v>6</v>
      </c>
      <c r="L150" t="s">
        <v>2338</v>
      </c>
      <c r="M150">
        <v>16316</v>
      </c>
      <c r="N150">
        <v>5066</v>
      </c>
      <c r="O150">
        <v>21382</v>
      </c>
      <c r="P150" t="s">
        <v>2882</v>
      </c>
    </row>
    <row r="151" spans="1:16" x14ac:dyDescent="0.25">
      <c r="A151" t="s">
        <v>2626</v>
      </c>
      <c r="B151" t="s">
        <v>183</v>
      </c>
      <c r="C151" s="3">
        <v>45450</v>
      </c>
      <c r="D151" t="s">
        <v>1019</v>
      </c>
      <c r="F151" t="s">
        <v>1026</v>
      </c>
      <c r="H151" t="s">
        <v>2627</v>
      </c>
      <c r="I151" t="s">
        <v>2627</v>
      </c>
      <c r="J151">
        <v>8930</v>
      </c>
      <c r="K151">
        <v>5</v>
      </c>
      <c r="L151" t="s">
        <v>2514</v>
      </c>
      <c r="M151">
        <v>31472</v>
      </c>
      <c r="N151">
        <v>15451</v>
      </c>
      <c r="O151">
        <v>46923</v>
      </c>
      <c r="P151" t="s">
        <v>2882</v>
      </c>
    </row>
    <row r="152" spans="1:16" x14ac:dyDescent="0.25">
      <c r="A152" t="s">
        <v>1911</v>
      </c>
      <c r="B152" t="s">
        <v>33</v>
      </c>
      <c r="C152" s="3">
        <v>41529</v>
      </c>
      <c r="D152" t="s">
        <v>1024</v>
      </c>
      <c r="E152">
        <v>29.99</v>
      </c>
      <c r="F152" t="s">
        <v>1047</v>
      </c>
      <c r="G152">
        <v>123</v>
      </c>
      <c r="H152" t="s">
        <v>1629</v>
      </c>
      <c r="I152" t="s">
        <v>1629</v>
      </c>
      <c r="J152">
        <v>8903</v>
      </c>
      <c r="K152">
        <v>8</v>
      </c>
      <c r="L152" t="s">
        <v>1022</v>
      </c>
      <c r="M152">
        <v>126374</v>
      </c>
      <c r="N152">
        <v>12097</v>
      </c>
      <c r="O152">
        <v>138471</v>
      </c>
      <c r="P152" t="s">
        <v>2883</v>
      </c>
    </row>
    <row r="153" spans="1:16" x14ac:dyDescent="0.25">
      <c r="A153" t="s">
        <v>1800</v>
      </c>
      <c r="B153" t="s">
        <v>824</v>
      </c>
      <c r="C153" s="3">
        <v>45513</v>
      </c>
      <c r="D153" t="s">
        <v>1019</v>
      </c>
      <c r="F153" t="s">
        <v>1020</v>
      </c>
      <c r="G153">
        <v>51</v>
      </c>
      <c r="H153" t="s">
        <v>1801</v>
      </c>
      <c r="I153" t="s">
        <v>1801</v>
      </c>
      <c r="J153">
        <v>8885</v>
      </c>
      <c r="K153">
        <v>8</v>
      </c>
      <c r="L153" t="s">
        <v>1022</v>
      </c>
      <c r="M153">
        <v>32118</v>
      </c>
      <c r="N153">
        <v>1820</v>
      </c>
      <c r="O153">
        <v>33938</v>
      </c>
      <c r="P153" t="s">
        <v>2882</v>
      </c>
    </row>
    <row r="154" spans="1:16" x14ac:dyDescent="0.25">
      <c r="A154" t="s">
        <v>1245</v>
      </c>
      <c r="B154" t="s">
        <v>316</v>
      </c>
      <c r="C154" s="3">
        <v>44521</v>
      </c>
      <c r="D154" t="s">
        <v>1024</v>
      </c>
      <c r="E154">
        <v>19.989999999999998</v>
      </c>
      <c r="F154" t="s">
        <v>1110</v>
      </c>
      <c r="G154">
        <v>45</v>
      </c>
      <c r="H154" t="s">
        <v>1214</v>
      </c>
      <c r="I154" t="s">
        <v>1214</v>
      </c>
      <c r="J154">
        <v>8732</v>
      </c>
      <c r="K154">
        <v>8</v>
      </c>
      <c r="L154" t="s">
        <v>1022</v>
      </c>
      <c r="M154">
        <v>30093</v>
      </c>
      <c r="N154">
        <v>2461</v>
      </c>
      <c r="O154">
        <v>32554</v>
      </c>
      <c r="P154" t="s">
        <v>2883</v>
      </c>
    </row>
    <row r="155" spans="1:16" x14ac:dyDescent="0.25">
      <c r="A155" t="s">
        <v>2117</v>
      </c>
      <c r="B155" t="s">
        <v>692</v>
      </c>
      <c r="C155" s="3">
        <v>45008</v>
      </c>
      <c r="D155" t="s">
        <v>1024</v>
      </c>
      <c r="E155">
        <v>39.99</v>
      </c>
      <c r="F155" t="s">
        <v>1113</v>
      </c>
      <c r="G155">
        <v>46</v>
      </c>
      <c r="H155" t="s">
        <v>1233</v>
      </c>
      <c r="I155" t="s">
        <v>1233</v>
      </c>
      <c r="J155">
        <v>8619</v>
      </c>
      <c r="K155">
        <v>9</v>
      </c>
      <c r="L155" t="s">
        <v>2077</v>
      </c>
      <c r="M155">
        <v>91238</v>
      </c>
      <c r="N155">
        <v>3386</v>
      </c>
      <c r="O155">
        <v>94624</v>
      </c>
      <c r="P155" t="s">
        <v>2883</v>
      </c>
    </row>
    <row r="156" spans="1:16" x14ac:dyDescent="0.25">
      <c r="A156" t="s">
        <v>2740</v>
      </c>
      <c r="B156" t="s">
        <v>169</v>
      </c>
      <c r="C156" s="3">
        <v>41142</v>
      </c>
      <c r="D156" t="s">
        <v>1019</v>
      </c>
      <c r="F156" t="s">
        <v>1020</v>
      </c>
      <c r="H156" t="s">
        <v>1021</v>
      </c>
      <c r="I156" t="s">
        <v>1021</v>
      </c>
      <c r="J156">
        <v>8532</v>
      </c>
      <c r="K156">
        <v>9</v>
      </c>
      <c r="L156" t="s">
        <v>2077</v>
      </c>
      <c r="M156">
        <v>11796</v>
      </c>
      <c r="N156">
        <v>343</v>
      </c>
      <c r="O156">
        <v>12139</v>
      </c>
      <c r="P156" t="s">
        <v>2882</v>
      </c>
    </row>
    <row r="157" spans="1:16" x14ac:dyDescent="0.25">
      <c r="A157" t="s">
        <v>1060</v>
      </c>
      <c r="B157" t="s">
        <v>964</v>
      </c>
      <c r="C157" s="3">
        <v>46126</v>
      </c>
      <c r="D157" t="s">
        <v>1024</v>
      </c>
      <c r="E157">
        <v>29.99</v>
      </c>
      <c r="F157" t="s">
        <v>1026</v>
      </c>
      <c r="H157" t="s">
        <v>1061</v>
      </c>
      <c r="I157" t="s">
        <v>1061</v>
      </c>
      <c r="J157">
        <v>8512</v>
      </c>
      <c r="K157">
        <v>8</v>
      </c>
      <c r="L157" t="s">
        <v>1022</v>
      </c>
      <c r="M157">
        <v>26589</v>
      </c>
      <c r="N157">
        <v>3358</v>
      </c>
      <c r="O157">
        <v>29947</v>
      </c>
      <c r="P157" t="s">
        <v>2883</v>
      </c>
    </row>
    <row r="158" spans="1:16" x14ac:dyDescent="0.25">
      <c r="A158" t="s">
        <v>2120</v>
      </c>
      <c r="B158" t="s">
        <v>60</v>
      </c>
      <c r="C158" s="3">
        <v>45342</v>
      </c>
      <c r="D158" t="s">
        <v>1024</v>
      </c>
      <c r="E158">
        <v>14.99</v>
      </c>
      <c r="F158" t="s">
        <v>1047</v>
      </c>
      <c r="G158">
        <v>31</v>
      </c>
      <c r="H158" t="s">
        <v>2121</v>
      </c>
      <c r="I158" t="s">
        <v>2072</v>
      </c>
      <c r="J158">
        <v>8383</v>
      </c>
      <c r="K158">
        <v>9</v>
      </c>
      <c r="L158" t="s">
        <v>2077</v>
      </c>
      <c r="M158">
        <v>118298</v>
      </c>
      <c r="N158">
        <v>2331</v>
      </c>
      <c r="O158">
        <v>120629</v>
      </c>
      <c r="P158" t="s">
        <v>2883</v>
      </c>
    </row>
    <row r="159" spans="1:16" x14ac:dyDescent="0.25">
      <c r="A159" t="s">
        <v>2741</v>
      </c>
      <c r="B159" t="s">
        <v>507</v>
      </c>
      <c r="C159" s="3">
        <v>41130</v>
      </c>
      <c r="D159" t="s">
        <v>1019</v>
      </c>
      <c r="F159" t="s">
        <v>1020</v>
      </c>
      <c r="G159">
        <v>0</v>
      </c>
      <c r="H159" t="s">
        <v>2742</v>
      </c>
      <c r="I159" t="s">
        <v>2743</v>
      </c>
      <c r="J159">
        <v>8367</v>
      </c>
      <c r="K159">
        <v>5</v>
      </c>
      <c r="L159" t="s">
        <v>2514</v>
      </c>
      <c r="M159">
        <v>7961</v>
      </c>
      <c r="N159">
        <v>5360</v>
      </c>
      <c r="O159">
        <v>13321</v>
      </c>
      <c r="P159" t="s">
        <v>2882</v>
      </c>
    </row>
    <row r="160" spans="1:16" x14ac:dyDescent="0.25">
      <c r="A160" t="s">
        <v>1802</v>
      </c>
      <c r="B160" t="s">
        <v>625</v>
      </c>
      <c r="C160" s="3">
        <v>41570</v>
      </c>
      <c r="D160" t="s">
        <v>1019</v>
      </c>
      <c r="F160" t="s">
        <v>1020</v>
      </c>
      <c r="G160">
        <v>127</v>
      </c>
      <c r="H160" t="s">
        <v>1803</v>
      </c>
      <c r="I160" t="s">
        <v>1803</v>
      </c>
      <c r="J160">
        <v>8355</v>
      </c>
      <c r="K160">
        <v>8</v>
      </c>
      <c r="L160" t="s">
        <v>1022</v>
      </c>
      <c r="M160">
        <v>126349</v>
      </c>
      <c r="N160">
        <v>15621</v>
      </c>
      <c r="O160">
        <v>141970</v>
      </c>
      <c r="P160" t="s">
        <v>2882</v>
      </c>
    </row>
    <row r="161" spans="1:16" x14ac:dyDescent="0.25">
      <c r="A161" t="s">
        <v>2738</v>
      </c>
      <c r="B161" t="s">
        <v>816</v>
      </c>
      <c r="C161" s="3">
        <v>45298</v>
      </c>
      <c r="D161" t="s">
        <v>1019</v>
      </c>
      <c r="F161" t="s">
        <v>1020</v>
      </c>
      <c r="H161" t="s">
        <v>2739</v>
      </c>
      <c r="I161" t="s">
        <v>2739</v>
      </c>
      <c r="J161">
        <v>8351</v>
      </c>
      <c r="K161">
        <v>5</v>
      </c>
      <c r="L161" t="s">
        <v>2514</v>
      </c>
      <c r="M161">
        <v>2658</v>
      </c>
      <c r="N161">
        <v>1328</v>
      </c>
      <c r="O161">
        <v>3986</v>
      </c>
      <c r="P161" t="s">
        <v>2882</v>
      </c>
    </row>
    <row r="162" spans="1:16" x14ac:dyDescent="0.25">
      <c r="A162" t="s">
        <v>2122</v>
      </c>
      <c r="B162" t="s">
        <v>22</v>
      </c>
      <c r="C162" s="3">
        <v>42402</v>
      </c>
      <c r="D162" t="s">
        <v>1024</v>
      </c>
      <c r="E162">
        <v>19.989999999999998</v>
      </c>
      <c r="F162" t="s">
        <v>1110</v>
      </c>
      <c r="G162">
        <v>130</v>
      </c>
      <c r="H162" t="s">
        <v>2086</v>
      </c>
      <c r="I162" t="s">
        <v>2086</v>
      </c>
      <c r="J162">
        <v>8323</v>
      </c>
      <c r="K162">
        <v>9</v>
      </c>
      <c r="L162" t="s">
        <v>2077</v>
      </c>
      <c r="M162">
        <v>105820</v>
      </c>
      <c r="N162">
        <v>3153</v>
      </c>
      <c r="O162">
        <v>108973</v>
      </c>
      <c r="P162" t="s">
        <v>2883</v>
      </c>
    </row>
    <row r="163" spans="1:16" x14ac:dyDescent="0.25">
      <c r="A163" t="s">
        <v>1057</v>
      </c>
      <c r="B163" t="s">
        <v>987</v>
      </c>
      <c r="C163" s="3">
        <v>43952</v>
      </c>
      <c r="D163" t="s">
        <v>1024</v>
      </c>
      <c r="E163">
        <v>4.99</v>
      </c>
      <c r="F163" t="s">
        <v>1058</v>
      </c>
      <c r="H163" t="s">
        <v>1059</v>
      </c>
      <c r="I163" t="s">
        <v>1059</v>
      </c>
      <c r="J163">
        <v>8149</v>
      </c>
      <c r="K163">
        <v>8</v>
      </c>
      <c r="L163" t="s">
        <v>1022</v>
      </c>
      <c r="M163">
        <v>1479</v>
      </c>
      <c r="N163">
        <v>111</v>
      </c>
      <c r="O163">
        <v>1590</v>
      </c>
      <c r="P163" t="s">
        <v>2883</v>
      </c>
    </row>
    <row r="164" spans="1:16" x14ac:dyDescent="0.25">
      <c r="A164" t="s">
        <v>1246</v>
      </c>
      <c r="B164" t="s">
        <v>675</v>
      </c>
      <c r="C164" s="3">
        <v>44732</v>
      </c>
      <c r="D164" t="s">
        <v>1024</v>
      </c>
      <c r="E164">
        <v>19.989999999999998</v>
      </c>
      <c r="F164" t="s">
        <v>1110</v>
      </c>
      <c r="G164">
        <v>104</v>
      </c>
      <c r="H164" t="s">
        <v>1247</v>
      </c>
      <c r="I164" t="s">
        <v>1248</v>
      </c>
      <c r="J164">
        <v>8078</v>
      </c>
      <c r="K164">
        <v>8</v>
      </c>
      <c r="L164" t="s">
        <v>1022</v>
      </c>
      <c r="M164">
        <v>141436</v>
      </c>
      <c r="N164">
        <v>9681</v>
      </c>
      <c r="O164">
        <v>151117</v>
      </c>
      <c r="P164" t="s">
        <v>2883</v>
      </c>
    </row>
    <row r="165" spans="1:16" x14ac:dyDescent="0.25">
      <c r="A165" t="s">
        <v>2118</v>
      </c>
      <c r="B165" t="s">
        <v>190</v>
      </c>
      <c r="C165" s="3">
        <v>45105</v>
      </c>
      <c r="D165" t="s">
        <v>1024</v>
      </c>
      <c r="E165">
        <v>19.989999999999998</v>
      </c>
      <c r="F165" t="s">
        <v>1110</v>
      </c>
      <c r="G165">
        <v>43</v>
      </c>
      <c r="H165" t="s">
        <v>2119</v>
      </c>
      <c r="I165" t="s">
        <v>2119</v>
      </c>
      <c r="J165">
        <v>7995</v>
      </c>
      <c r="K165">
        <v>9</v>
      </c>
      <c r="L165" t="s">
        <v>2077</v>
      </c>
      <c r="M165">
        <v>53314</v>
      </c>
      <c r="N165">
        <v>1935</v>
      </c>
      <c r="O165">
        <v>55249</v>
      </c>
      <c r="P165" t="s">
        <v>2883</v>
      </c>
    </row>
    <row r="166" spans="1:16" x14ac:dyDescent="0.25">
      <c r="A166" t="s">
        <v>2746</v>
      </c>
      <c r="B166" t="s">
        <v>63</v>
      </c>
      <c r="C166" s="3">
        <v>45405</v>
      </c>
      <c r="D166" t="s">
        <v>1019</v>
      </c>
      <c r="F166" t="s">
        <v>1020</v>
      </c>
      <c r="G166">
        <v>76</v>
      </c>
      <c r="H166" t="s">
        <v>2747</v>
      </c>
      <c r="I166" t="s">
        <v>2748</v>
      </c>
      <c r="J166">
        <v>7995</v>
      </c>
      <c r="K166">
        <v>6</v>
      </c>
      <c r="L166" t="s">
        <v>2338</v>
      </c>
      <c r="M166">
        <v>16885</v>
      </c>
      <c r="N166">
        <v>4533</v>
      </c>
      <c r="O166">
        <v>21418</v>
      </c>
      <c r="P166" t="s">
        <v>2882</v>
      </c>
    </row>
    <row r="167" spans="1:16" x14ac:dyDescent="0.25">
      <c r="A167" t="s">
        <v>1249</v>
      </c>
      <c r="B167" t="s">
        <v>282</v>
      </c>
      <c r="C167" s="3">
        <v>45953</v>
      </c>
      <c r="D167" t="s">
        <v>1024</v>
      </c>
      <c r="E167">
        <v>9.99</v>
      </c>
      <c r="F167" t="s">
        <v>1208</v>
      </c>
      <c r="G167">
        <v>34</v>
      </c>
      <c r="H167" t="s">
        <v>1250</v>
      </c>
      <c r="I167" t="s">
        <v>1251</v>
      </c>
      <c r="J167">
        <v>7922</v>
      </c>
      <c r="K167">
        <v>8</v>
      </c>
      <c r="L167" t="s">
        <v>1022</v>
      </c>
      <c r="M167">
        <v>47353</v>
      </c>
      <c r="N167">
        <v>6161</v>
      </c>
      <c r="O167">
        <v>53514</v>
      </c>
      <c r="P167" t="s">
        <v>2883</v>
      </c>
    </row>
    <row r="168" spans="1:16" x14ac:dyDescent="0.25">
      <c r="A168" t="s">
        <v>1062</v>
      </c>
      <c r="B168" t="s">
        <v>991</v>
      </c>
      <c r="C168" s="3">
        <v>46189</v>
      </c>
      <c r="D168" t="s">
        <v>1019</v>
      </c>
      <c r="F168" t="s">
        <v>1020</v>
      </c>
      <c r="H168" t="s">
        <v>1063</v>
      </c>
      <c r="I168" t="s">
        <v>1063</v>
      </c>
      <c r="J168">
        <v>7896</v>
      </c>
      <c r="K168">
        <v>8</v>
      </c>
      <c r="L168" t="s">
        <v>1022</v>
      </c>
      <c r="M168">
        <v>3983</v>
      </c>
      <c r="N168">
        <v>473</v>
      </c>
      <c r="O168">
        <v>4456</v>
      </c>
      <c r="P168" t="s">
        <v>2882</v>
      </c>
    </row>
    <row r="169" spans="1:16" x14ac:dyDescent="0.25">
      <c r="A169" t="s">
        <v>1804</v>
      </c>
      <c r="B169" t="s">
        <v>925</v>
      </c>
      <c r="C169" s="3">
        <v>45832</v>
      </c>
      <c r="D169" t="s">
        <v>1019</v>
      </c>
      <c r="F169" t="s">
        <v>1020</v>
      </c>
      <c r="G169">
        <v>20</v>
      </c>
      <c r="H169" t="s">
        <v>1671</v>
      </c>
      <c r="I169" t="s">
        <v>1671</v>
      </c>
      <c r="J169">
        <v>7820</v>
      </c>
      <c r="K169">
        <v>8</v>
      </c>
      <c r="L169" t="s">
        <v>1022</v>
      </c>
      <c r="M169">
        <v>38081</v>
      </c>
      <c r="N169">
        <v>2655</v>
      </c>
      <c r="O169">
        <v>40736</v>
      </c>
      <c r="P169" t="s">
        <v>2882</v>
      </c>
    </row>
    <row r="170" spans="1:16" x14ac:dyDescent="0.25">
      <c r="A170" t="s">
        <v>2744</v>
      </c>
      <c r="B170" t="s">
        <v>884</v>
      </c>
      <c r="C170" s="3">
        <v>45566</v>
      </c>
      <c r="D170" t="s">
        <v>1019</v>
      </c>
      <c r="F170" t="s">
        <v>1020</v>
      </c>
      <c r="G170">
        <v>48</v>
      </c>
      <c r="H170" t="s">
        <v>2745</v>
      </c>
      <c r="I170" t="s">
        <v>2687</v>
      </c>
      <c r="J170">
        <v>7802</v>
      </c>
      <c r="K170">
        <v>5</v>
      </c>
      <c r="L170" t="s">
        <v>2514</v>
      </c>
      <c r="M170">
        <v>20389</v>
      </c>
      <c r="N170">
        <v>12155</v>
      </c>
      <c r="O170">
        <v>32544</v>
      </c>
      <c r="P170" t="s">
        <v>2882</v>
      </c>
    </row>
    <row r="171" spans="1:16" x14ac:dyDescent="0.25">
      <c r="A171" t="s">
        <v>1912</v>
      </c>
      <c r="B171" t="s">
        <v>142</v>
      </c>
      <c r="C171" s="3">
        <v>42073</v>
      </c>
      <c r="D171" t="s">
        <v>1024</v>
      </c>
      <c r="E171">
        <v>29.99</v>
      </c>
      <c r="F171" t="s">
        <v>1047</v>
      </c>
      <c r="G171">
        <v>135</v>
      </c>
      <c r="H171" t="s">
        <v>1913</v>
      </c>
      <c r="I171" t="s">
        <v>1846</v>
      </c>
      <c r="J171">
        <v>7759</v>
      </c>
      <c r="K171">
        <v>8</v>
      </c>
      <c r="L171" t="s">
        <v>1022</v>
      </c>
      <c r="M171">
        <v>118558</v>
      </c>
      <c r="N171">
        <v>9370</v>
      </c>
      <c r="O171">
        <v>127928</v>
      </c>
      <c r="P171" t="s">
        <v>2883</v>
      </c>
    </row>
    <row r="172" spans="1:16" x14ac:dyDescent="0.25">
      <c r="A172" t="s">
        <v>1252</v>
      </c>
      <c r="B172" t="s">
        <v>415</v>
      </c>
      <c r="C172" s="3">
        <v>46142</v>
      </c>
      <c r="D172" t="s">
        <v>1024</v>
      </c>
      <c r="E172">
        <v>39.99</v>
      </c>
      <c r="F172" t="s">
        <v>1026</v>
      </c>
      <c r="G172">
        <v>22</v>
      </c>
      <c r="H172" t="s">
        <v>1253</v>
      </c>
      <c r="I172" t="s">
        <v>1254</v>
      </c>
      <c r="J172">
        <v>7574</v>
      </c>
      <c r="K172">
        <v>8</v>
      </c>
      <c r="L172" t="s">
        <v>1022</v>
      </c>
      <c r="M172">
        <v>5861</v>
      </c>
      <c r="N172">
        <v>865</v>
      </c>
      <c r="O172">
        <v>6726</v>
      </c>
      <c r="P172" t="s">
        <v>2883</v>
      </c>
    </row>
    <row r="173" spans="1:16" x14ac:dyDescent="0.25">
      <c r="A173" t="s">
        <v>2123</v>
      </c>
      <c r="B173" t="s">
        <v>637</v>
      </c>
      <c r="C173" s="3">
        <v>44854</v>
      </c>
      <c r="D173" t="s">
        <v>1024</v>
      </c>
      <c r="E173">
        <v>59.99</v>
      </c>
      <c r="F173" t="s">
        <v>1042</v>
      </c>
      <c r="G173">
        <v>53</v>
      </c>
      <c r="H173" t="s">
        <v>1717</v>
      </c>
      <c r="I173" t="s">
        <v>1555</v>
      </c>
      <c r="J173">
        <v>7502</v>
      </c>
      <c r="K173">
        <v>9</v>
      </c>
      <c r="L173" t="s">
        <v>2077</v>
      </c>
      <c r="M173">
        <v>41474</v>
      </c>
      <c r="N173">
        <v>1488</v>
      </c>
      <c r="O173">
        <v>42962</v>
      </c>
      <c r="P173" t="s">
        <v>2883</v>
      </c>
    </row>
    <row r="174" spans="1:16" x14ac:dyDescent="0.25">
      <c r="A174" t="s">
        <v>2749</v>
      </c>
      <c r="B174" t="s">
        <v>973</v>
      </c>
      <c r="C174" s="3">
        <v>44314</v>
      </c>
      <c r="D174" t="s">
        <v>1019</v>
      </c>
      <c r="F174" t="s">
        <v>1020</v>
      </c>
      <c r="G174">
        <v>60</v>
      </c>
      <c r="H174" t="s">
        <v>1808</v>
      </c>
      <c r="I174" t="s">
        <v>1808</v>
      </c>
      <c r="J174">
        <v>7462</v>
      </c>
      <c r="K174">
        <v>6</v>
      </c>
      <c r="L174" t="s">
        <v>2338</v>
      </c>
      <c r="M174">
        <v>18424</v>
      </c>
      <c r="N174">
        <v>6554</v>
      </c>
      <c r="O174">
        <v>24978</v>
      </c>
      <c r="P174" t="s">
        <v>2882</v>
      </c>
    </row>
    <row r="175" spans="1:16" x14ac:dyDescent="0.25">
      <c r="A175" t="s">
        <v>2531</v>
      </c>
      <c r="B175" t="s">
        <v>687</v>
      </c>
      <c r="C175" s="3">
        <v>45827</v>
      </c>
      <c r="D175" t="s">
        <v>1024</v>
      </c>
      <c r="E175">
        <v>39.99</v>
      </c>
      <c r="F175" t="s">
        <v>1086</v>
      </c>
      <c r="G175">
        <v>37</v>
      </c>
      <c r="H175" t="s">
        <v>2532</v>
      </c>
      <c r="I175" t="s">
        <v>2532</v>
      </c>
      <c r="J175">
        <v>7402</v>
      </c>
      <c r="K175">
        <v>5</v>
      </c>
      <c r="L175" t="s">
        <v>2514</v>
      </c>
      <c r="M175">
        <v>14516</v>
      </c>
      <c r="N175">
        <v>6437</v>
      </c>
      <c r="O175">
        <v>20953</v>
      </c>
      <c r="P175" t="s">
        <v>2883</v>
      </c>
    </row>
    <row r="176" spans="1:16" x14ac:dyDescent="0.25">
      <c r="A176" t="s">
        <v>2363</v>
      </c>
      <c r="B176" t="s">
        <v>299</v>
      </c>
      <c r="C176" s="3">
        <v>43935</v>
      </c>
      <c r="D176" t="s">
        <v>1024</v>
      </c>
      <c r="E176">
        <v>39.99</v>
      </c>
      <c r="F176" t="s">
        <v>1042</v>
      </c>
      <c r="G176">
        <v>72</v>
      </c>
      <c r="H176" t="s">
        <v>1206</v>
      </c>
      <c r="I176" t="s">
        <v>1051</v>
      </c>
      <c r="J176">
        <v>7228</v>
      </c>
      <c r="K176">
        <v>6</v>
      </c>
      <c r="L176" t="s">
        <v>2338</v>
      </c>
      <c r="M176">
        <v>59794</v>
      </c>
      <c r="N176">
        <v>23001</v>
      </c>
      <c r="O176">
        <v>82795</v>
      </c>
      <c r="P176" t="s">
        <v>2883</v>
      </c>
    </row>
    <row r="177" spans="1:16" x14ac:dyDescent="0.25">
      <c r="A177" t="s">
        <v>1255</v>
      </c>
      <c r="B177" t="s">
        <v>293</v>
      </c>
      <c r="C177" s="3">
        <v>45807</v>
      </c>
      <c r="D177" t="s">
        <v>1024</v>
      </c>
      <c r="E177">
        <v>49.99</v>
      </c>
      <c r="F177" t="s">
        <v>1086</v>
      </c>
      <c r="G177">
        <v>46</v>
      </c>
      <c r="H177" t="s">
        <v>1256</v>
      </c>
      <c r="I177" t="s">
        <v>1035</v>
      </c>
      <c r="J177">
        <v>7133</v>
      </c>
      <c r="K177">
        <v>8</v>
      </c>
      <c r="L177" t="s">
        <v>1022</v>
      </c>
      <c r="M177">
        <v>9532</v>
      </c>
      <c r="N177">
        <v>1424</v>
      </c>
      <c r="O177">
        <v>10956</v>
      </c>
      <c r="P177" t="s">
        <v>2883</v>
      </c>
    </row>
    <row r="178" spans="1:16" x14ac:dyDescent="0.25">
      <c r="A178" t="s">
        <v>1805</v>
      </c>
      <c r="B178" t="s">
        <v>620</v>
      </c>
      <c r="C178" s="3">
        <v>45376</v>
      </c>
      <c r="D178" t="s">
        <v>1019</v>
      </c>
      <c r="F178" t="s">
        <v>1020</v>
      </c>
      <c r="G178">
        <v>52</v>
      </c>
      <c r="H178" t="s">
        <v>1806</v>
      </c>
      <c r="I178" t="s">
        <v>1806</v>
      </c>
      <c r="J178">
        <v>7087</v>
      </c>
      <c r="K178">
        <v>8</v>
      </c>
      <c r="L178" t="s">
        <v>1022</v>
      </c>
      <c r="M178">
        <v>23507</v>
      </c>
      <c r="N178">
        <v>2919</v>
      </c>
      <c r="O178">
        <v>26426</v>
      </c>
      <c r="P178" t="s">
        <v>2882</v>
      </c>
    </row>
    <row r="179" spans="1:16" x14ac:dyDescent="0.25">
      <c r="A179" t="s">
        <v>2124</v>
      </c>
      <c r="B179" t="s">
        <v>109</v>
      </c>
      <c r="C179" s="3">
        <v>45100</v>
      </c>
      <c r="D179" t="s">
        <v>1024</v>
      </c>
      <c r="E179">
        <v>4.99</v>
      </c>
      <c r="F179" t="s">
        <v>1020</v>
      </c>
      <c r="G179">
        <v>179</v>
      </c>
      <c r="H179" t="s">
        <v>2125</v>
      </c>
      <c r="I179" t="s">
        <v>2125</v>
      </c>
      <c r="J179">
        <v>7013</v>
      </c>
      <c r="K179">
        <v>9</v>
      </c>
      <c r="L179" t="s">
        <v>2077</v>
      </c>
      <c r="M179">
        <v>31878</v>
      </c>
      <c r="N179">
        <v>1183</v>
      </c>
      <c r="O179">
        <v>33061</v>
      </c>
      <c r="P179" t="s">
        <v>2883</v>
      </c>
    </row>
    <row r="180" spans="1:16" x14ac:dyDescent="0.25">
      <c r="A180" t="s">
        <v>1914</v>
      </c>
      <c r="B180" t="s">
        <v>649</v>
      </c>
      <c r="C180" s="3">
        <v>43774</v>
      </c>
      <c r="D180" t="s">
        <v>1024</v>
      </c>
      <c r="E180">
        <v>44.99</v>
      </c>
      <c r="F180" t="s">
        <v>1047</v>
      </c>
      <c r="G180">
        <v>38</v>
      </c>
      <c r="H180" t="s">
        <v>1915</v>
      </c>
      <c r="I180" t="s">
        <v>1915</v>
      </c>
      <c r="J180">
        <v>6957</v>
      </c>
      <c r="K180">
        <v>8</v>
      </c>
      <c r="L180" t="s">
        <v>1022</v>
      </c>
      <c r="M180">
        <v>44860</v>
      </c>
      <c r="N180">
        <v>4401</v>
      </c>
      <c r="O180">
        <v>49261</v>
      </c>
      <c r="P180" t="s">
        <v>2883</v>
      </c>
    </row>
    <row r="181" spans="1:16" x14ac:dyDescent="0.25">
      <c r="A181" t="s">
        <v>2126</v>
      </c>
      <c r="B181" t="s">
        <v>145</v>
      </c>
      <c r="C181" s="3">
        <v>45771</v>
      </c>
      <c r="D181" t="s">
        <v>1024</v>
      </c>
      <c r="E181">
        <v>59.99</v>
      </c>
      <c r="F181" t="s">
        <v>1042</v>
      </c>
      <c r="G181">
        <v>55</v>
      </c>
      <c r="H181" t="s">
        <v>2127</v>
      </c>
      <c r="I181" t="s">
        <v>1618</v>
      </c>
      <c r="J181">
        <v>6931</v>
      </c>
      <c r="K181">
        <v>9</v>
      </c>
      <c r="L181" t="s">
        <v>2077</v>
      </c>
      <c r="M181">
        <v>132279</v>
      </c>
      <c r="N181">
        <v>4698</v>
      </c>
      <c r="O181">
        <v>136977</v>
      </c>
      <c r="P181" t="s">
        <v>2883</v>
      </c>
    </row>
    <row r="182" spans="1:16" x14ac:dyDescent="0.25">
      <c r="A182" t="s">
        <v>2364</v>
      </c>
      <c r="B182" t="s">
        <v>249</v>
      </c>
      <c r="C182" s="3">
        <v>45818</v>
      </c>
      <c r="D182" t="s">
        <v>1024</v>
      </c>
      <c r="E182">
        <v>49.99</v>
      </c>
      <c r="F182" t="s">
        <v>1042</v>
      </c>
      <c r="G182">
        <v>72</v>
      </c>
      <c r="H182" t="s">
        <v>2360</v>
      </c>
      <c r="I182" t="s">
        <v>2360</v>
      </c>
      <c r="J182">
        <v>6931</v>
      </c>
      <c r="K182">
        <v>6</v>
      </c>
      <c r="L182" t="s">
        <v>2338</v>
      </c>
      <c r="M182">
        <v>37773</v>
      </c>
      <c r="N182">
        <v>15164</v>
      </c>
      <c r="O182">
        <v>52937</v>
      </c>
      <c r="P182" t="s">
        <v>2883</v>
      </c>
    </row>
    <row r="183" spans="1:16" x14ac:dyDescent="0.25">
      <c r="A183" t="s">
        <v>2130</v>
      </c>
      <c r="B183" t="s">
        <v>827</v>
      </c>
      <c r="C183" s="3">
        <v>42160</v>
      </c>
      <c r="D183" t="s">
        <v>1024</v>
      </c>
      <c r="E183">
        <v>19.989999999999998</v>
      </c>
      <c r="F183" t="s">
        <v>1047</v>
      </c>
      <c r="G183">
        <v>26</v>
      </c>
      <c r="H183" t="s">
        <v>2131</v>
      </c>
      <c r="I183" t="s">
        <v>2131</v>
      </c>
      <c r="J183">
        <v>6883</v>
      </c>
      <c r="K183">
        <v>9</v>
      </c>
      <c r="L183" t="s">
        <v>2077</v>
      </c>
      <c r="M183">
        <v>47320</v>
      </c>
      <c r="N183">
        <v>1913</v>
      </c>
      <c r="O183">
        <v>49233</v>
      </c>
      <c r="P183" t="s">
        <v>2883</v>
      </c>
    </row>
    <row r="184" spans="1:16" x14ac:dyDescent="0.25">
      <c r="A184" t="s">
        <v>2750</v>
      </c>
      <c r="B184" t="s">
        <v>496</v>
      </c>
      <c r="C184" s="3">
        <v>44603</v>
      </c>
      <c r="D184" t="s">
        <v>1019</v>
      </c>
      <c r="F184" t="s">
        <v>1020</v>
      </c>
      <c r="G184">
        <v>156</v>
      </c>
      <c r="H184" t="s">
        <v>2751</v>
      </c>
      <c r="I184" t="s">
        <v>2687</v>
      </c>
      <c r="J184">
        <v>6852</v>
      </c>
      <c r="K184">
        <v>5</v>
      </c>
      <c r="L184" t="s">
        <v>2514</v>
      </c>
      <c r="M184">
        <v>70543</v>
      </c>
      <c r="N184">
        <v>34459</v>
      </c>
      <c r="O184">
        <v>105002</v>
      </c>
      <c r="P184" t="s">
        <v>2882</v>
      </c>
    </row>
    <row r="185" spans="1:16" x14ac:dyDescent="0.25">
      <c r="A185" t="s">
        <v>1680</v>
      </c>
      <c r="B185" t="s">
        <v>422</v>
      </c>
      <c r="C185" s="3">
        <v>44967</v>
      </c>
      <c r="D185" t="s">
        <v>1024</v>
      </c>
      <c r="E185">
        <v>59.99</v>
      </c>
      <c r="F185" t="s">
        <v>1042</v>
      </c>
      <c r="G185">
        <v>45</v>
      </c>
      <c r="H185" t="s">
        <v>1681</v>
      </c>
      <c r="I185" t="s">
        <v>1423</v>
      </c>
      <c r="J185">
        <v>6788</v>
      </c>
      <c r="K185">
        <v>8</v>
      </c>
      <c r="L185" t="s">
        <v>1022</v>
      </c>
      <c r="M185">
        <v>163849</v>
      </c>
      <c r="N185">
        <v>16221</v>
      </c>
      <c r="O185">
        <v>180070</v>
      </c>
      <c r="P185" t="s">
        <v>2883</v>
      </c>
    </row>
    <row r="186" spans="1:16" x14ac:dyDescent="0.25">
      <c r="A186" t="s">
        <v>1258</v>
      </c>
      <c r="B186" t="s">
        <v>731</v>
      </c>
      <c r="C186" s="3">
        <v>43985</v>
      </c>
      <c r="D186" t="s">
        <v>1024</v>
      </c>
      <c r="E186">
        <v>39.99</v>
      </c>
      <c r="F186" t="s">
        <v>1113</v>
      </c>
      <c r="G186">
        <v>293</v>
      </c>
      <c r="H186" t="s">
        <v>1259</v>
      </c>
      <c r="I186" t="s">
        <v>1106</v>
      </c>
      <c r="J186">
        <v>6754</v>
      </c>
      <c r="K186">
        <v>8</v>
      </c>
      <c r="L186" t="s">
        <v>1022</v>
      </c>
      <c r="M186">
        <v>148541</v>
      </c>
      <c r="N186">
        <v>19108</v>
      </c>
      <c r="O186">
        <v>167649</v>
      </c>
      <c r="P186" t="s">
        <v>2883</v>
      </c>
    </row>
    <row r="187" spans="1:16" x14ac:dyDescent="0.25">
      <c r="A187" t="s">
        <v>1257</v>
      </c>
      <c r="B187" t="s">
        <v>959</v>
      </c>
      <c r="C187" s="3">
        <v>42702</v>
      </c>
      <c r="D187" t="s">
        <v>1024</v>
      </c>
      <c r="E187">
        <v>49.99</v>
      </c>
      <c r="F187" t="s">
        <v>1113</v>
      </c>
      <c r="G187">
        <v>55</v>
      </c>
      <c r="H187" t="s">
        <v>1212</v>
      </c>
      <c r="I187" t="s">
        <v>1212</v>
      </c>
      <c r="J187">
        <v>6656</v>
      </c>
      <c r="K187">
        <v>8</v>
      </c>
      <c r="L187" t="s">
        <v>1022</v>
      </c>
      <c r="M187">
        <v>22987</v>
      </c>
      <c r="N187">
        <v>5095</v>
      </c>
      <c r="O187">
        <v>28082</v>
      </c>
      <c r="P187" t="s">
        <v>2883</v>
      </c>
    </row>
    <row r="188" spans="1:16" x14ac:dyDescent="0.25">
      <c r="A188" t="s">
        <v>2536</v>
      </c>
      <c r="B188" t="s">
        <v>124</v>
      </c>
      <c r="C188" s="3">
        <v>44856</v>
      </c>
      <c r="D188" t="s">
        <v>1024</v>
      </c>
      <c r="E188">
        <v>69.989999999999995</v>
      </c>
      <c r="F188" t="s">
        <v>1189</v>
      </c>
      <c r="G188">
        <v>24</v>
      </c>
      <c r="H188" t="s">
        <v>1456</v>
      </c>
      <c r="I188" t="s">
        <v>1272</v>
      </c>
      <c r="J188">
        <v>6635</v>
      </c>
      <c r="K188">
        <v>5</v>
      </c>
      <c r="L188" t="s">
        <v>2514</v>
      </c>
      <c r="M188">
        <v>3627</v>
      </c>
      <c r="N188">
        <v>4974</v>
      </c>
      <c r="O188">
        <v>8601</v>
      </c>
      <c r="P188" t="s">
        <v>2883</v>
      </c>
    </row>
    <row r="189" spans="1:16" x14ac:dyDescent="0.25">
      <c r="A189" t="s">
        <v>1270</v>
      </c>
      <c r="B189" t="s">
        <v>120</v>
      </c>
      <c r="C189" s="3">
        <v>42313</v>
      </c>
      <c r="D189" t="s">
        <v>1024</v>
      </c>
      <c r="E189">
        <v>59.99</v>
      </c>
      <c r="F189" t="s">
        <v>1113</v>
      </c>
      <c r="G189">
        <v>98</v>
      </c>
      <c r="H189" t="s">
        <v>1271</v>
      </c>
      <c r="I189" t="s">
        <v>1272</v>
      </c>
      <c r="J189">
        <v>6607</v>
      </c>
      <c r="K189">
        <v>8</v>
      </c>
      <c r="L189" t="s">
        <v>1022</v>
      </c>
      <c r="M189">
        <v>144757</v>
      </c>
      <c r="N189">
        <v>20428</v>
      </c>
      <c r="O189">
        <v>165185</v>
      </c>
      <c r="P189" t="s">
        <v>2883</v>
      </c>
    </row>
    <row r="190" spans="1:16" x14ac:dyDescent="0.25">
      <c r="A190" t="s">
        <v>2128</v>
      </c>
      <c r="B190" t="s">
        <v>37</v>
      </c>
      <c r="C190" s="3">
        <v>42422</v>
      </c>
      <c r="D190" t="s">
        <v>1024</v>
      </c>
      <c r="E190">
        <v>19.989999999999998</v>
      </c>
      <c r="F190" t="s">
        <v>1058</v>
      </c>
      <c r="H190" t="s">
        <v>2129</v>
      </c>
      <c r="I190" t="s">
        <v>2129</v>
      </c>
      <c r="J190">
        <v>6548</v>
      </c>
      <c r="K190">
        <v>9</v>
      </c>
      <c r="L190" t="s">
        <v>2077</v>
      </c>
      <c r="M190">
        <v>16133</v>
      </c>
      <c r="N190">
        <v>149</v>
      </c>
      <c r="O190">
        <v>16282</v>
      </c>
      <c r="P190" t="s">
        <v>2883</v>
      </c>
    </row>
    <row r="191" spans="1:16" x14ac:dyDescent="0.25">
      <c r="A191" t="s">
        <v>1916</v>
      </c>
      <c r="B191" t="s">
        <v>860</v>
      </c>
      <c r="C191" s="3">
        <v>44259</v>
      </c>
      <c r="D191" t="s">
        <v>1019</v>
      </c>
      <c r="E191">
        <v>19.989999999999998</v>
      </c>
      <c r="F191" t="s">
        <v>1047</v>
      </c>
      <c r="G191">
        <v>89</v>
      </c>
      <c r="H191" t="s">
        <v>1917</v>
      </c>
      <c r="I191" t="s">
        <v>1918</v>
      </c>
      <c r="J191">
        <v>6469</v>
      </c>
      <c r="K191">
        <v>8</v>
      </c>
      <c r="L191" t="s">
        <v>1022</v>
      </c>
      <c r="M191">
        <v>3044</v>
      </c>
      <c r="N191">
        <v>370</v>
      </c>
      <c r="O191">
        <v>3414</v>
      </c>
      <c r="P191" t="s">
        <v>2882</v>
      </c>
    </row>
    <row r="192" spans="1:16" x14ac:dyDescent="0.25">
      <c r="A192" t="s">
        <v>1064</v>
      </c>
      <c r="B192" t="s">
        <v>395</v>
      </c>
      <c r="C192" s="3">
        <v>44796</v>
      </c>
      <c r="D192" t="s">
        <v>1019</v>
      </c>
      <c r="F192" t="s">
        <v>1020</v>
      </c>
      <c r="H192" t="s">
        <v>1065</v>
      </c>
      <c r="I192" t="s">
        <v>1065</v>
      </c>
      <c r="J192">
        <v>6442</v>
      </c>
      <c r="K192">
        <v>8</v>
      </c>
      <c r="L192" t="s">
        <v>1022</v>
      </c>
      <c r="M192">
        <v>16381</v>
      </c>
      <c r="N192">
        <v>2129</v>
      </c>
      <c r="O192">
        <v>18510</v>
      </c>
      <c r="P192" t="s">
        <v>2882</v>
      </c>
    </row>
    <row r="193" spans="1:16" x14ac:dyDescent="0.25">
      <c r="A193" t="s">
        <v>1260</v>
      </c>
      <c r="B193" t="s">
        <v>506</v>
      </c>
      <c r="C193" s="3">
        <v>45408</v>
      </c>
      <c r="D193" t="s">
        <v>1024</v>
      </c>
      <c r="E193">
        <v>39.99</v>
      </c>
      <c r="F193" t="s">
        <v>1026</v>
      </c>
      <c r="G193">
        <v>11</v>
      </c>
      <c r="H193" t="s">
        <v>1261</v>
      </c>
      <c r="I193" t="s">
        <v>1254</v>
      </c>
      <c r="J193">
        <v>6423</v>
      </c>
      <c r="K193">
        <v>8</v>
      </c>
      <c r="L193" t="s">
        <v>1022</v>
      </c>
      <c r="M193">
        <v>38101</v>
      </c>
      <c r="N193">
        <v>5705</v>
      </c>
      <c r="O193">
        <v>43806</v>
      </c>
      <c r="P193" t="s">
        <v>2883</v>
      </c>
    </row>
    <row r="194" spans="1:16" x14ac:dyDescent="0.25">
      <c r="A194" t="s">
        <v>1262</v>
      </c>
      <c r="B194" t="s">
        <v>606</v>
      </c>
      <c r="C194" s="3">
        <v>46219</v>
      </c>
      <c r="D194" t="s">
        <v>1024</v>
      </c>
      <c r="E194">
        <v>12.99</v>
      </c>
      <c r="F194" t="s">
        <v>1110</v>
      </c>
      <c r="G194">
        <v>35</v>
      </c>
      <c r="H194" t="s">
        <v>1263</v>
      </c>
      <c r="I194" t="s">
        <v>1264</v>
      </c>
      <c r="J194">
        <v>6407</v>
      </c>
      <c r="K194">
        <v>8</v>
      </c>
      <c r="L194" t="s">
        <v>1022</v>
      </c>
      <c r="M194">
        <v>203</v>
      </c>
      <c r="N194">
        <v>23</v>
      </c>
      <c r="O194">
        <v>226</v>
      </c>
      <c r="P194" t="s">
        <v>2883</v>
      </c>
    </row>
    <row r="195" spans="1:16" x14ac:dyDescent="0.25">
      <c r="A195" t="s">
        <v>2630</v>
      </c>
      <c r="B195" t="s">
        <v>260</v>
      </c>
      <c r="C195" s="3">
        <v>45561</v>
      </c>
      <c r="D195" t="s">
        <v>1024</v>
      </c>
      <c r="F195" t="s">
        <v>1086</v>
      </c>
      <c r="G195">
        <v>39</v>
      </c>
      <c r="H195" t="s">
        <v>2513</v>
      </c>
      <c r="I195" t="s">
        <v>1035</v>
      </c>
      <c r="J195">
        <v>6381</v>
      </c>
      <c r="K195">
        <v>5</v>
      </c>
      <c r="L195" t="s">
        <v>2514</v>
      </c>
      <c r="M195">
        <v>17119</v>
      </c>
      <c r="N195">
        <v>15137</v>
      </c>
      <c r="O195">
        <v>32256</v>
      </c>
      <c r="P195" t="s">
        <v>2883</v>
      </c>
    </row>
    <row r="196" spans="1:16" x14ac:dyDescent="0.25">
      <c r="A196" t="s">
        <v>1066</v>
      </c>
      <c r="B196" t="s">
        <v>173</v>
      </c>
      <c r="C196" s="3">
        <v>44952</v>
      </c>
      <c r="D196" t="s">
        <v>1019</v>
      </c>
      <c r="F196" t="s">
        <v>1067</v>
      </c>
      <c r="H196" t="s">
        <v>1068</v>
      </c>
      <c r="I196" t="s">
        <v>1068</v>
      </c>
      <c r="J196">
        <v>6339</v>
      </c>
      <c r="K196">
        <v>8</v>
      </c>
      <c r="L196" t="s">
        <v>1022</v>
      </c>
      <c r="M196">
        <v>4511</v>
      </c>
      <c r="N196">
        <v>499</v>
      </c>
      <c r="O196">
        <v>5010</v>
      </c>
      <c r="P196" t="s">
        <v>2882</v>
      </c>
    </row>
    <row r="197" spans="1:16" x14ac:dyDescent="0.25">
      <c r="A197" t="s">
        <v>1265</v>
      </c>
      <c r="B197" t="s">
        <v>382</v>
      </c>
      <c r="C197" s="3">
        <v>43914</v>
      </c>
      <c r="D197" t="s">
        <v>1024</v>
      </c>
      <c r="E197">
        <v>19.989999999999998</v>
      </c>
      <c r="F197" t="s">
        <v>1113</v>
      </c>
      <c r="G197">
        <v>55</v>
      </c>
      <c r="H197" t="s">
        <v>1266</v>
      </c>
      <c r="I197" t="s">
        <v>1185</v>
      </c>
      <c r="J197">
        <v>6293</v>
      </c>
      <c r="K197">
        <v>8</v>
      </c>
      <c r="L197" t="s">
        <v>1022</v>
      </c>
      <c r="M197">
        <v>66116</v>
      </c>
      <c r="N197">
        <v>15257</v>
      </c>
      <c r="O197">
        <v>81373</v>
      </c>
      <c r="P197" t="s">
        <v>2883</v>
      </c>
    </row>
    <row r="198" spans="1:16" x14ac:dyDescent="0.25">
      <c r="A198" t="s">
        <v>2132</v>
      </c>
      <c r="B198" t="s">
        <v>228</v>
      </c>
      <c r="C198" s="3">
        <v>42992</v>
      </c>
      <c r="D198" t="s">
        <v>1024</v>
      </c>
      <c r="E198">
        <v>44.99</v>
      </c>
      <c r="F198" t="s">
        <v>1047</v>
      </c>
      <c r="G198">
        <v>97</v>
      </c>
      <c r="H198" t="s">
        <v>1993</v>
      </c>
      <c r="I198" t="s">
        <v>1993</v>
      </c>
      <c r="J198">
        <v>6267</v>
      </c>
      <c r="K198">
        <v>9</v>
      </c>
      <c r="L198" t="s">
        <v>2077</v>
      </c>
      <c r="M198">
        <v>90355</v>
      </c>
      <c r="N198">
        <v>4393</v>
      </c>
      <c r="O198">
        <v>94748</v>
      </c>
      <c r="P198" t="s">
        <v>2883</v>
      </c>
    </row>
    <row r="199" spans="1:16" x14ac:dyDescent="0.25">
      <c r="A199" t="s">
        <v>2752</v>
      </c>
      <c r="B199" t="s">
        <v>974</v>
      </c>
      <c r="C199" s="3">
        <v>42683</v>
      </c>
      <c r="D199" t="s">
        <v>1019</v>
      </c>
      <c r="F199" t="s">
        <v>1020</v>
      </c>
      <c r="H199" t="s">
        <v>1808</v>
      </c>
      <c r="I199" t="s">
        <v>1808</v>
      </c>
      <c r="J199">
        <v>6237</v>
      </c>
      <c r="K199">
        <v>6</v>
      </c>
      <c r="L199" t="s">
        <v>2338</v>
      </c>
      <c r="M199">
        <v>18194</v>
      </c>
      <c r="N199">
        <v>6307</v>
      </c>
      <c r="O199">
        <v>24501</v>
      </c>
      <c r="P199" t="s">
        <v>2882</v>
      </c>
    </row>
    <row r="200" spans="1:16" x14ac:dyDescent="0.25">
      <c r="A200" t="s">
        <v>1267</v>
      </c>
      <c r="B200" t="s">
        <v>932</v>
      </c>
      <c r="C200" s="3">
        <v>45420</v>
      </c>
      <c r="D200" t="s">
        <v>1024</v>
      </c>
      <c r="E200">
        <v>34.99</v>
      </c>
      <c r="F200" t="s">
        <v>1268</v>
      </c>
      <c r="G200">
        <v>49</v>
      </c>
      <c r="H200" t="s">
        <v>1269</v>
      </c>
      <c r="I200" t="s">
        <v>1269</v>
      </c>
      <c r="J200">
        <v>6222</v>
      </c>
      <c r="K200">
        <v>8</v>
      </c>
      <c r="L200" t="s">
        <v>1022</v>
      </c>
      <c r="M200">
        <v>59448</v>
      </c>
      <c r="N200">
        <v>6937</v>
      </c>
      <c r="O200">
        <v>66385</v>
      </c>
      <c r="P200" t="s">
        <v>2883</v>
      </c>
    </row>
    <row r="201" spans="1:16" x14ac:dyDescent="0.25">
      <c r="A201" t="s">
        <v>2365</v>
      </c>
      <c r="B201" t="s">
        <v>720</v>
      </c>
      <c r="C201" s="3">
        <v>45616</v>
      </c>
      <c r="D201" t="s">
        <v>1024</v>
      </c>
      <c r="E201">
        <v>59.99</v>
      </c>
      <c r="F201" t="s">
        <v>1042</v>
      </c>
      <c r="G201">
        <v>58</v>
      </c>
      <c r="H201" t="s">
        <v>2366</v>
      </c>
      <c r="I201" t="s">
        <v>2367</v>
      </c>
      <c r="J201">
        <v>6181</v>
      </c>
      <c r="K201">
        <v>6</v>
      </c>
      <c r="L201" t="s">
        <v>2338</v>
      </c>
      <c r="M201">
        <v>42224</v>
      </c>
      <c r="N201">
        <v>13109</v>
      </c>
      <c r="O201">
        <v>55333</v>
      </c>
      <c r="P201" t="s">
        <v>2883</v>
      </c>
    </row>
    <row r="202" spans="1:16" x14ac:dyDescent="0.25">
      <c r="A202" t="s">
        <v>2136</v>
      </c>
      <c r="B202" t="s">
        <v>851</v>
      </c>
      <c r="C202" s="3">
        <v>43220</v>
      </c>
      <c r="D202" t="s">
        <v>1024</v>
      </c>
      <c r="E202">
        <v>19.989999999999998</v>
      </c>
      <c r="F202" t="s">
        <v>1110</v>
      </c>
      <c r="G202">
        <v>45</v>
      </c>
      <c r="H202" t="s">
        <v>1229</v>
      </c>
      <c r="I202" t="s">
        <v>1229</v>
      </c>
      <c r="J202">
        <v>6170</v>
      </c>
      <c r="K202">
        <v>9</v>
      </c>
      <c r="L202" t="s">
        <v>2077</v>
      </c>
      <c r="M202">
        <v>201085</v>
      </c>
      <c r="N202">
        <v>10010</v>
      </c>
      <c r="O202">
        <v>211095</v>
      </c>
      <c r="P202" t="s">
        <v>2883</v>
      </c>
    </row>
    <row r="203" spans="1:16" x14ac:dyDescent="0.25">
      <c r="A203" t="s">
        <v>2537</v>
      </c>
      <c r="B203" t="s">
        <v>937</v>
      </c>
      <c r="C203" s="3">
        <v>44859</v>
      </c>
      <c r="D203" t="s">
        <v>1024</v>
      </c>
      <c r="E203">
        <v>49.99</v>
      </c>
      <c r="F203" t="s">
        <v>1047</v>
      </c>
      <c r="G203">
        <v>141</v>
      </c>
      <c r="H203" t="s">
        <v>1845</v>
      </c>
      <c r="I203" t="s">
        <v>1846</v>
      </c>
      <c r="J203">
        <v>6170</v>
      </c>
      <c r="K203">
        <v>5</v>
      </c>
      <c r="L203" t="s">
        <v>2514</v>
      </c>
      <c r="M203">
        <v>19174</v>
      </c>
      <c r="N203">
        <v>8902</v>
      </c>
      <c r="O203">
        <v>28076</v>
      </c>
      <c r="P203" t="s">
        <v>2883</v>
      </c>
    </row>
    <row r="204" spans="1:16" x14ac:dyDescent="0.25">
      <c r="A204" t="s">
        <v>2533</v>
      </c>
      <c r="B204" t="s">
        <v>81</v>
      </c>
      <c r="C204" s="3">
        <v>46127</v>
      </c>
      <c r="D204" t="s">
        <v>1024</v>
      </c>
      <c r="E204">
        <v>2.99</v>
      </c>
      <c r="F204" t="s">
        <v>1047</v>
      </c>
      <c r="G204">
        <v>28</v>
      </c>
      <c r="H204" t="s">
        <v>2534</v>
      </c>
      <c r="I204" t="s">
        <v>2535</v>
      </c>
      <c r="J204">
        <v>6119</v>
      </c>
      <c r="K204">
        <v>4</v>
      </c>
      <c r="L204" t="s">
        <v>2516</v>
      </c>
      <c r="M204">
        <v>28</v>
      </c>
      <c r="N204">
        <v>94</v>
      </c>
      <c r="O204">
        <v>122</v>
      </c>
      <c r="P204" t="s">
        <v>2883</v>
      </c>
    </row>
    <row r="205" spans="1:16" x14ac:dyDescent="0.25">
      <c r="A205" t="s">
        <v>1069</v>
      </c>
      <c r="B205" t="s">
        <v>593</v>
      </c>
      <c r="C205" s="3">
        <v>46210</v>
      </c>
      <c r="D205" t="s">
        <v>1019</v>
      </c>
      <c r="F205" t="s">
        <v>1020</v>
      </c>
      <c r="H205" t="s">
        <v>1070</v>
      </c>
      <c r="I205" t="s">
        <v>1071</v>
      </c>
      <c r="J205">
        <v>6076</v>
      </c>
      <c r="K205">
        <v>8</v>
      </c>
      <c r="L205" t="s">
        <v>1022</v>
      </c>
      <c r="M205">
        <v>1304</v>
      </c>
      <c r="N205">
        <v>211</v>
      </c>
      <c r="O205">
        <v>1515</v>
      </c>
      <c r="P205" t="s">
        <v>2882</v>
      </c>
    </row>
    <row r="206" spans="1:16" x14ac:dyDescent="0.25">
      <c r="A206" t="s">
        <v>1807</v>
      </c>
      <c r="B206" t="s">
        <v>975</v>
      </c>
      <c r="C206" s="3">
        <v>43054</v>
      </c>
      <c r="D206" t="s">
        <v>1019</v>
      </c>
      <c r="F206" t="s">
        <v>1020</v>
      </c>
      <c r="G206">
        <v>43</v>
      </c>
      <c r="H206" t="s">
        <v>1808</v>
      </c>
      <c r="I206" t="s">
        <v>1808</v>
      </c>
      <c r="J206">
        <v>6043</v>
      </c>
      <c r="K206">
        <v>8</v>
      </c>
      <c r="L206" t="s">
        <v>1022</v>
      </c>
      <c r="M206">
        <v>39273</v>
      </c>
      <c r="N206">
        <v>9782</v>
      </c>
      <c r="O206">
        <v>49055</v>
      </c>
      <c r="P206" t="s">
        <v>2882</v>
      </c>
    </row>
    <row r="207" spans="1:16" x14ac:dyDescent="0.25">
      <c r="A207" t="s">
        <v>2538</v>
      </c>
      <c r="B207" t="s">
        <v>104</v>
      </c>
      <c r="C207" s="3">
        <v>45911</v>
      </c>
      <c r="D207" t="s">
        <v>1024</v>
      </c>
      <c r="E207">
        <v>69.989999999999995</v>
      </c>
      <c r="F207" t="s">
        <v>1042</v>
      </c>
      <c r="G207">
        <v>52</v>
      </c>
      <c r="H207" t="s">
        <v>1708</v>
      </c>
      <c r="I207" t="s">
        <v>1123</v>
      </c>
      <c r="J207">
        <v>6037</v>
      </c>
      <c r="K207">
        <v>5</v>
      </c>
      <c r="L207" t="s">
        <v>2514</v>
      </c>
      <c r="M207">
        <v>34515</v>
      </c>
      <c r="N207">
        <v>22534</v>
      </c>
      <c r="O207">
        <v>57049</v>
      </c>
      <c r="P207" t="s">
        <v>2883</v>
      </c>
    </row>
    <row r="208" spans="1:16" x14ac:dyDescent="0.25">
      <c r="A208" t="s">
        <v>2134</v>
      </c>
      <c r="B208" t="s">
        <v>461</v>
      </c>
      <c r="C208" s="3">
        <v>43440</v>
      </c>
      <c r="D208" t="s">
        <v>1024</v>
      </c>
      <c r="E208">
        <v>29.99</v>
      </c>
      <c r="F208" t="s">
        <v>1047</v>
      </c>
      <c r="G208">
        <v>0</v>
      </c>
      <c r="H208" t="s">
        <v>2135</v>
      </c>
      <c r="I208" t="s">
        <v>2135</v>
      </c>
      <c r="J208">
        <v>6036</v>
      </c>
      <c r="K208">
        <v>9</v>
      </c>
      <c r="L208" t="s">
        <v>2077</v>
      </c>
      <c r="M208">
        <v>53153</v>
      </c>
      <c r="N208">
        <v>2752</v>
      </c>
      <c r="O208">
        <v>55905</v>
      </c>
      <c r="P208" t="s">
        <v>2883</v>
      </c>
    </row>
    <row r="209" spans="1:16" x14ac:dyDescent="0.25">
      <c r="A209" t="s">
        <v>2139</v>
      </c>
      <c r="B209" t="s">
        <v>704</v>
      </c>
      <c r="C209" s="3">
        <v>44054</v>
      </c>
      <c r="D209" t="s">
        <v>1024</v>
      </c>
      <c r="E209">
        <v>24.99</v>
      </c>
      <c r="F209" t="s">
        <v>1208</v>
      </c>
      <c r="G209">
        <v>171</v>
      </c>
      <c r="H209" t="s">
        <v>2140</v>
      </c>
      <c r="I209" t="s">
        <v>2141</v>
      </c>
      <c r="J209">
        <v>5898</v>
      </c>
      <c r="K209">
        <v>9</v>
      </c>
      <c r="L209" t="s">
        <v>2077</v>
      </c>
      <c r="M209">
        <v>226390</v>
      </c>
      <c r="N209">
        <v>11493</v>
      </c>
      <c r="O209">
        <v>237883</v>
      </c>
      <c r="P209" t="s">
        <v>2883</v>
      </c>
    </row>
    <row r="210" spans="1:16" x14ac:dyDescent="0.25">
      <c r="A210" t="s">
        <v>2632</v>
      </c>
      <c r="B210" t="s">
        <v>759</v>
      </c>
      <c r="C210" s="3">
        <v>45531</v>
      </c>
      <c r="D210" t="s">
        <v>1019</v>
      </c>
      <c r="F210" t="s">
        <v>1026</v>
      </c>
      <c r="G210">
        <v>27</v>
      </c>
      <c r="H210" t="s">
        <v>2633</v>
      </c>
      <c r="I210" t="s">
        <v>1875</v>
      </c>
      <c r="J210">
        <v>5877</v>
      </c>
      <c r="K210">
        <v>5</v>
      </c>
      <c r="L210" t="s">
        <v>2514</v>
      </c>
      <c r="M210">
        <v>7970</v>
      </c>
      <c r="N210">
        <v>6819</v>
      </c>
      <c r="O210">
        <v>14789</v>
      </c>
      <c r="P210" t="s">
        <v>2882</v>
      </c>
    </row>
    <row r="211" spans="1:16" x14ac:dyDescent="0.25">
      <c r="A211" t="s">
        <v>1919</v>
      </c>
      <c r="B211" t="s">
        <v>905</v>
      </c>
      <c r="C211" s="3">
        <v>41519</v>
      </c>
      <c r="D211" t="s">
        <v>1024</v>
      </c>
      <c r="E211">
        <v>59.99</v>
      </c>
      <c r="F211" t="s">
        <v>1047</v>
      </c>
      <c r="G211">
        <v>188</v>
      </c>
      <c r="H211" t="s">
        <v>1644</v>
      </c>
      <c r="I211" t="s">
        <v>1555</v>
      </c>
      <c r="J211">
        <v>5876</v>
      </c>
      <c r="K211">
        <v>8</v>
      </c>
      <c r="L211" t="s">
        <v>1022</v>
      </c>
      <c r="M211">
        <v>40514</v>
      </c>
      <c r="N211">
        <v>7056</v>
      </c>
      <c r="O211">
        <v>47570</v>
      </c>
      <c r="P211" t="s">
        <v>2883</v>
      </c>
    </row>
    <row r="212" spans="1:16" x14ac:dyDescent="0.25">
      <c r="A212" t="s">
        <v>1274</v>
      </c>
      <c r="B212" t="s">
        <v>714</v>
      </c>
      <c r="C212" s="3">
        <v>45762</v>
      </c>
      <c r="D212" t="s">
        <v>1024</v>
      </c>
      <c r="E212">
        <v>29.99</v>
      </c>
      <c r="F212" t="s">
        <v>1026</v>
      </c>
      <c r="G212">
        <v>48</v>
      </c>
      <c r="H212" t="s">
        <v>1275</v>
      </c>
      <c r="I212" t="s">
        <v>1275</v>
      </c>
      <c r="J212">
        <v>5824</v>
      </c>
      <c r="K212">
        <v>8</v>
      </c>
      <c r="L212" t="s">
        <v>1022</v>
      </c>
      <c r="M212">
        <v>18785</v>
      </c>
      <c r="N212">
        <v>4138</v>
      </c>
      <c r="O212">
        <v>22923</v>
      </c>
      <c r="P212" t="s">
        <v>2883</v>
      </c>
    </row>
    <row r="213" spans="1:16" x14ac:dyDescent="0.25">
      <c r="A213" t="s">
        <v>2133</v>
      </c>
      <c r="B213" t="s">
        <v>754</v>
      </c>
      <c r="C213" s="3">
        <v>43488</v>
      </c>
      <c r="D213" t="s">
        <v>1024</v>
      </c>
      <c r="E213">
        <v>24.99</v>
      </c>
      <c r="F213" t="s">
        <v>1047</v>
      </c>
      <c r="G213">
        <v>46</v>
      </c>
      <c r="H213" t="s">
        <v>1027</v>
      </c>
      <c r="I213" t="s">
        <v>1027</v>
      </c>
      <c r="J213">
        <v>5799</v>
      </c>
      <c r="K213">
        <v>9</v>
      </c>
      <c r="L213" t="s">
        <v>2077</v>
      </c>
      <c r="M213">
        <v>88965</v>
      </c>
      <c r="N213">
        <v>2337</v>
      </c>
      <c r="O213">
        <v>91302</v>
      </c>
      <c r="P213" t="s">
        <v>2883</v>
      </c>
    </row>
    <row r="214" spans="1:16" x14ac:dyDescent="0.25">
      <c r="A214" t="s">
        <v>2539</v>
      </c>
      <c r="B214" t="s">
        <v>533</v>
      </c>
      <c r="C214" s="3">
        <v>45615</v>
      </c>
      <c r="D214" t="s">
        <v>1024</v>
      </c>
      <c r="E214">
        <v>69.989999999999995</v>
      </c>
      <c r="F214" t="s">
        <v>1110</v>
      </c>
      <c r="G214">
        <v>27</v>
      </c>
      <c r="H214" t="s">
        <v>1510</v>
      </c>
      <c r="I214" t="s">
        <v>1106</v>
      </c>
      <c r="J214">
        <v>5792</v>
      </c>
      <c r="K214">
        <v>5</v>
      </c>
      <c r="L214" t="s">
        <v>2514</v>
      </c>
      <c r="M214">
        <v>7193</v>
      </c>
      <c r="N214">
        <v>5513</v>
      </c>
      <c r="O214">
        <v>12706</v>
      </c>
      <c r="P214" t="s">
        <v>2883</v>
      </c>
    </row>
    <row r="215" spans="1:16" x14ac:dyDescent="0.25">
      <c r="A215" t="s">
        <v>1273</v>
      </c>
      <c r="B215" t="s">
        <v>348</v>
      </c>
      <c r="C215" s="3">
        <v>44508</v>
      </c>
      <c r="D215" t="s">
        <v>1024</v>
      </c>
      <c r="E215">
        <v>59.99</v>
      </c>
      <c r="F215" t="s">
        <v>1086</v>
      </c>
      <c r="G215">
        <v>164</v>
      </c>
      <c r="H215" t="s">
        <v>1220</v>
      </c>
      <c r="I215" t="s">
        <v>1106</v>
      </c>
      <c r="J215">
        <v>5785</v>
      </c>
      <c r="K215">
        <v>8</v>
      </c>
      <c r="L215" t="s">
        <v>1022</v>
      </c>
      <c r="M215">
        <v>86464</v>
      </c>
      <c r="N215">
        <v>11316</v>
      </c>
      <c r="O215">
        <v>97780</v>
      </c>
      <c r="P215" t="s">
        <v>2883</v>
      </c>
    </row>
    <row r="216" spans="1:16" x14ac:dyDescent="0.25">
      <c r="A216" t="s">
        <v>1684</v>
      </c>
      <c r="B216" t="s">
        <v>465</v>
      </c>
      <c r="C216" s="3">
        <v>43144</v>
      </c>
      <c r="D216" t="s">
        <v>1024</v>
      </c>
      <c r="E216">
        <v>29.99</v>
      </c>
      <c r="F216" t="s">
        <v>1042</v>
      </c>
      <c r="G216">
        <v>82</v>
      </c>
      <c r="H216" t="s">
        <v>1674</v>
      </c>
      <c r="I216" t="s">
        <v>1674</v>
      </c>
      <c r="J216">
        <v>5770</v>
      </c>
      <c r="K216">
        <v>8</v>
      </c>
      <c r="L216" t="s">
        <v>1022</v>
      </c>
      <c r="M216">
        <v>69016</v>
      </c>
      <c r="N216">
        <v>13143</v>
      </c>
      <c r="O216">
        <v>82159</v>
      </c>
      <c r="P216" t="s">
        <v>2883</v>
      </c>
    </row>
    <row r="217" spans="1:16" x14ac:dyDescent="0.25">
      <c r="A217" t="s">
        <v>1809</v>
      </c>
      <c r="B217" t="s">
        <v>727</v>
      </c>
      <c r="C217" s="3">
        <v>43098</v>
      </c>
      <c r="D217" t="s">
        <v>1019</v>
      </c>
      <c r="F217" t="s">
        <v>1020</v>
      </c>
      <c r="G217">
        <v>52</v>
      </c>
      <c r="H217" t="s">
        <v>1810</v>
      </c>
      <c r="I217" t="s">
        <v>1810</v>
      </c>
      <c r="J217">
        <v>5735</v>
      </c>
      <c r="K217">
        <v>8</v>
      </c>
      <c r="L217" t="s">
        <v>1022</v>
      </c>
      <c r="M217">
        <v>84028</v>
      </c>
      <c r="N217">
        <v>7185</v>
      </c>
      <c r="O217">
        <v>91213</v>
      </c>
      <c r="P217" t="s">
        <v>2882</v>
      </c>
    </row>
    <row r="218" spans="1:16" x14ac:dyDescent="0.25">
      <c r="A218" t="s">
        <v>2753</v>
      </c>
      <c r="B218" t="s">
        <v>91</v>
      </c>
      <c r="C218" s="3">
        <v>45729</v>
      </c>
      <c r="D218" t="s">
        <v>1019</v>
      </c>
      <c r="F218" t="s">
        <v>1020</v>
      </c>
      <c r="H218" t="s">
        <v>1788</v>
      </c>
      <c r="I218" t="s">
        <v>1788</v>
      </c>
      <c r="J218">
        <v>5721</v>
      </c>
      <c r="K218">
        <v>6</v>
      </c>
      <c r="L218" t="s">
        <v>2338</v>
      </c>
      <c r="M218">
        <v>4903</v>
      </c>
      <c r="N218">
        <v>1447</v>
      </c>
      <c r="O218">
        <v>6350</v>
      </c>
      <c r="P218" t="s">
        <v>2882</v>
      </c>
    </row>
    <row r="219" spans="1:16" x14ac:dyDescent="0.25">
      <c r="A219" t="s">
        <v>2540</v>
      </c>
      <c r="B219" t="s">
        <v>248</v>
      </c>
      <c r="C219" s="3">
        <v>44736</v>
      </c>
      <c r="D219" t="s">
        <v>1024</v>
      </c>
      <c r="E219">
        <v>7.99</v>
      </c>
      <c r="F219" t="s">
        <v>1067</v>
      </c>
      <c r="G219">
        <v>35</v>
      </c>
      <c r="H219" t="s">
        <v>2541</v>
      </c>
      <c r="I219" t="s">
        <v>2541</v>
      </c>
      <c r="J219">
        <v>5662</v>
      </c>
      <c r="K219">
        <v>5</v>
      </c>
      <c r="L219" t="s">
        <v>2514</v>
      </c>
      <c r="M219">
        <v>2157</v>
      </c>
      <c r="N219">
        <v>1108</v>
      </c>
      <c r="O219">
        <v>3265</v>
      </c>
      <c r="P219" t="s">
        <v>2883</v>
      </c>
    </row>
    <row r="220" spans="1:16" x14ac:dyDescent="0.25">
      <c r="A220" t="s">
        <v>1283</v>
      </c>
      <c r="B220" t="s">
        <v>357</v>
      </c>
      <c r="C220" s="3">
        <v>46143</v>
      </c>
      <c r="D220" t="s">
        <v>1024</v>
      </c>
      <c r="E220">
        <v>7.99</v>
      </c>
      <c r="F220" t="s">
        <v>1110</v>
      </c>
      <c r="G220">
        <v>55</v>
      </c>
      <c r="H220" t="s">
        <v>1284</v>
      </c>
      <c r="I220" t="s">
        <v>1285</v>
      </c>
      <c r="J220">
        <v>5632</v>
      </c>
      <c r="K220">
        <v>8</v>
      </c>
      <c r="L220" t="s">
        <v>1022</v>
      </c>
      <c r="M220">
        <v>10297</v>
      </c>
      <c r="N220">
        <v>1314</v>
      </c>
      <c r="O220">
        <v>11611</v>
      </c>
      <c r="P220" t="s">
        <v>2883</v>
      </c>
    </row>
    <row r="221" spans="1:16" x14ac:dyDescent="0.25">
      <c r="A221" t="s">
        <v>2542</v>
      </c>
      <c r="B221" t="s">
        <v>836</v>
      </c>
      <c r="C221" s="3">
        <v>45316</v>
      </c>
      <c r="D221" t="s">
        <v>1024</v>
      </c>
      <c r="E221">
        <v>39.99</v>
      </c>
      <c r="F221" t="s">
        <v>1189</v>
      </c>
      <c r="G221">
        <v>47</v>
      </c>
      <c r="H221" t="s">
        <v>1549</v>
      </c>
      <c r="I221" t="s">
        <v>1324</v>
      </c>
      <c r="J221">
        <v>5572</v>
      </c>
      <c r="K221">
        <v>5</v>
      </c>
      <c r="L221" t="s">
        <v>2514</v>
      </c>
      <c r="M221">
        <v>24320</v>
      </c>
      <c r="N221">
        <v>18794</v>
      </c>
      <c r="O221">
        <v>43114</v>
      </c>
      <c r="P221" t="s">
        <v>2883</v>
      </c>
    </row>
    <row r="222" spans="1:16" x14ac:dyDescent="0.25">
      <c r="A222" t="s">
        <v>1685</v>
      </c>
      <c r="B222" t="s">
        <v>44</v>
      </c>
      <c r="C222" s="3">
        <v>43378</v>
      </c>
      <c r="D222" t="s">
        <v>1024</v>
      </c>
      <c r="E222">
        <v>59.99</v>
      </c>
      <c r="F222" t="s">
        <v>1042</v>
      </c>
      <c r="G222">
        <v>93</v>
      </c>
      <c r="H222" t="s">
        <v>1686</v>
      </c>
      <c r="I222" t="s">
        <v>1212</v>
      </c>
      <c r="J222">
        <v>5562</v>
      </c>
      <c r="K222">
        <v>8</v>
      </c>
      <c r="L222" t="s">
        <v>1022</v>
      </c>
      <c r="M222">
        <v>55400</v>
      </c>
      <c r="N222">
        <v>6641</v>
      </c>
      <c r="O222">
        <v>62041</v>
      </c>
      <c r="P222" t="s">
        <v>2883</v>
      </c>
    </row>
    <row r="223" spans="1:16" x14ac:dyDescent="0.25">
      <c r="A223" t="s">
        <v>2631</v>
      </c>
      <c r="B223" t="s">
        <v>36</v>
      </c>
      <c r="C223" s="3">
        <v>43432</v>
      </c>
      <c r="D223" t="s">
        <v>1019</v>
      </c>
      <c r="F223" t="s">
        <v>1047</v>
      </c>
      <c r="H223" t="s">
        <v>1021</v>
      </c>
      <c r="I223" t="s">
        <v>1021</v>
      </c>
      <c r="J223">
        <v>5560</v>
      </c>
      <c r="K223">
        <v>5</v>
      </c>
      <c r="L223" t="s">
        <v>2514</v>
      </c>
      <c r="M223">
        <v>5648</v>
      </c>
      <c r="N223">
        <v>4105</v>
      </c>
      <c r="O223">
        <v>9753</v>
      </c>
      <c r="P223" t="s">
        <v>2882</v>
      </c>
    </row>
    <row r="224" spans="1:16" x14ac:dyDescent="0.25">
      <c r="A224" t="s">
        <v>1278</v>
      </c>
      <c r="B224" t="s">
        <v>484</v>
      </c>
      <c r="C224" s="3">
        <v>46142</v>
      </c>
      <c r="D224" t="s">
        <v>1024</v>
      </c>
      <c r="E224">
        <v>5.99</v>
      </c>
      <c r="F224" t="s">
        <v>1110</v>
      </c>
      <c r="G224">
        <v>12</v>
      </c>
      <c r="H224" t="s">
        <v>1279</v>
      </c>
      <c r="I224" t="s">
        <v>1279</v>
      </c>
      <c r="J224">
        <v>5547</v>
      </c>
      <c r="K224">
        <v>8</v>
      </c>
      <c r="L224" t="s">
        <v>1022</v>
      </c>
      <c r="M224">
        <v>13367</v>
      </c>
      <c r="N224">
        <v>845</v>
      </c>
      <c r="O224">
        <v>14212</v>
      </c>
      <c r="P224" t="s">
        <v>2883</v>
      </c>
    </row>
    <row r="225" spans="1:16" x14ac:dyDescent="0.25">
      <c r="A225" t="s">
        <v>2368</v>
      </c>
      <c r="B225" t="s">
        <v>273</v>
      </c>
      <c r="C225" s="3">
        <v>42096</v>
      </c>
      <c r="D225" t="s">
        <v>1024</v>
      </c>
      <c r="E225">
        <v>19.989999999999998</v>
      </c>
      <c r="F225" t="s">
        <v>1047</v>
      </c>
      <c r="H225" t="s">
        <v>1915</v>
      </c>
      <c r="I225" t="s">
        <v>1915</v>
      </c>
      <c r="J225">
        <v>5502</v>
      </c>
      <c r="K225">
        <v>6</v>
      </c>
      <c r="L225" t="s">
        <v>2338</v>
      </c>
      <c r="M225">
        <v>54034</v>
      </c>
      <c r="N225">
        <v>15766</v>
      </c>
      <c r="O225">
        <v>69800</v>
      </c>
      <c r="P225" t="s">
        <v>2883</v>
      </c>
    </row>
    <row r="226" spans="1:16" x14ac:dyDescent="0.25">
      <c r="A226" t="s">
        <v>1811</v>
      </c>
      <c r="B226" t="s">
        <v>138</v>
      </c>
      <c r="C226" s="3">
        <v>44503</v>
      </c>
      <c r="D226" t="s">
        <v>1019</v>
      </c>
      <c r="F226" t="s">
        <v>1020</v>
      </c>
      <c r="G226">
        <v>43</v>
      </c>
      <c r="H226" t="s">
        <v>1812</v>
      </c>
      <c r="I226" t="s">
        <v>1812</v>
      </c>
      <c r="J226">
        <v>5409</v>
      </c>
      <c r="K226">
        <v>8</v>
      </c>
      <c r="L226" t="s">
        <v>1022</v>
      </c>
      <c r="M226">
        <v>9483</v>
      </c>
      <c r="N226">
        <v>1542</v>
      </c>
      <c r="O226">
        <v>11025</v>
      </c>
      <c r="P226" t="s">
        <v>2882</v>
      </c>
    </row>
    <row r="227" spans="1:16" x14ac:dyDescent="0.25">
      <c r="A227" t="s">
        <v>1276</v>
      </c>
      <c r="B227" t="s">
        <v>73</v>
      </c>
      <c r="C227" s="3">
        <v>43993</v>
      </c>
      <c r="D227" t="s">
        <v>1024</v>
      </c>
      <c r="E227">
        <v>39.99</v>
      </c>
      <c r="F227" t="s">
        <v>1268</v>
      </c>
      <c r="G227">
        <v>50</v>
      </c>
      <c r="H227" t="s">
        <v>1277</v>
      </c>
      <c r="I227" t="s">
        <v>1035</v>
      </c>
      <c r="J227">
        <v>5393</v>
      </c>
      <c r="K227">
        <v>8</v>
      </c>
      <c r="L227" t="s">
        <v>1022</v>
      </c>
      <c r="M227">
        <v>45395</v>
      </c>
      <c r="N227">
        <v>7190</v>
      </c>
      <c r="O227">
        <v>52585</v>
      </c>
      <c r="P227" t="s">
        <v>2883</v>
      </c>
    </row>
    <row r="228" spans="1:16" x14ac:dyDescent="0.25">
      <c r="A228" t="s">
        <v>1813</v>
      </c>
      <c r="B228" t="s">
        <v>333</v>
      </c>
      <c r="C228" s="3">
        <v>42975</v>
      </c>
      <c r="D228" t="s">
        <v>1019</v>
      </c>
      <c r="F228" t="s">
        <v>1020</v>
      </c>
      <c r="G228">
        <v>17</v>
      </c>
      <c r="H228" t="s">
        <v>1814</v>
      </c>
      <c r="I228" t="s">
        <v>1814</v>
      </c>
      <c r="J228">
        <v>5358</v>
      </c>
      <c r="K228">
        <v>8</v>
      </c>
      <c r="L228" t="s">
        <v>1022</v>
      </c>
      <c r="M228">
        <v>24284</v>
      </c>
      <c r="N228">
        <v>4494</v>
      </c>
      <c r="O228">
        <v>28778</v>
      </c>
      <c r="P228" t="s">
        <v>2882</v>
      </c>
    </row>
    <row r="229" spans="1:16" x14ac:dyDescent="0.25">
      <c r="A229" t="s">
        <v>2369</v>
      </c>
      <c r="B229" t="s">
        <v>981</v>
      </c>
      <c r="C229" s="3">
        <v>43434</v>
      </c>
      <c r="D229" t="s">
        <v>1024</v>
      </c>
      <c r="E229">
        <v>49.99</v>
      </c>
      <c r="F229" t="s">
        <v>1047</v>
      </c>
      <c r="G229">
        <v>172</v>
      </c>
      <c r="H229" t="s">
        <v>2370</v>
      </c>
      <c r="I229" t="s">
        <v>2370</v>
      </c>
      <c r="J229">
        <v>5345</v>
      </c>
      <c r="K229">
        <v>6</v>
      </c>
      <c r="L229" t="s">
        <v>2338</v>
      </c>
      <c r="M229">
        <v>12699</v>
      </c>
      <c r="N229">
        <v>3341</v>
      </c>
      <c r="O229">
        <v>16040</v>
      </c>
      <c r="P229" t="s">
        <v>2883</v>
      </c>
    </row>
    <row r="230" spans="1:16" x14ac:dyDescent="0.25">
      <c r="A230" t="s">
        <v>1280</v>
      </c>
      <c r="B230" t="s">
        <v>763</v>
      </c>
      <c r="C230" s="3">
        <v>44333</v>
      </c>
      <c r="D230" t="s">
        <v>1024</v>
      </c>
      <c r="E230">
        <v>29.99</v>
      </c>
      <c r="F230" t="s">
        <v>1110</v>
      </c>
      <c r="G230">
        <v>37</v>
      </c>
      <c r="H230" t="s">
        <v>1281</v>
      </c>
      <c r="I230" t="s">
        <v>1282</v>
      </c>
      <c r="J230">
        <v>5338</v>
      </c>
      <c r="K230">
        <v>8</v>
      </c>
      <c r="L230" t="s">
        <v>1022</v>
      </c>
      <c r="M230">
        <v>20062</v>
      </c>
      <c r="N230">
        <v>2519</v>
      </c>
      <c r="O230">
        <v>22581</v>
      </c>
      <c r="P230" t="s">
        <v>2883</v>
      </c>
    </row>
    <row r="231" spans="1:16" x14ac:dyDescent="0.25">
      <c r="A231" t="s">
        <v>1074</v>
      </c>
      <c r="B231" t="s">
        <v>812</v>
      </c>
      <c r="C231" s="3">
        <v>46156</v>
      </c>
      <c r="D231" t="s">
        <v>1024</v>
      </c>
      <c r="E231">
        <v>29.99</v>
      </c>
      <c r="F231" t="s">
        <v>1026</v>
      </c>
      <c r="H231" t="s">
        <v>1075</v>
      </c>
      <c r="I231" t="s">
        <v>1075</v>
      </c>
      <c r="J231">
        <v>5325</v>
      </c>
      <c r="K231">
        <v>8</v>
      </c>
      <c r="L231" t="s">
        <v>1022</v>
      </c>
      <c r="M231">
        <v>70122</v>
      </c>
      <c r="N231">
        <v>5102</v>
      </c>
      <c r="O231">
        <v>75224</v>
      </c>
      <c r="P231" t="s">
        <v>2883</v>
      </c>
    </row>
    <row r="232" spans="1:16" x14ac:dyDescent="0.25">
      <c r="A232" t="s">
        <v>1288</v>
      </c>
      <c r="B232" t="s">
        <v>547</v>
      </c>
      <c r="C232" s="3">
        <v>46209</v>
      </c>
      <c r="D232" t="s">
        <v>1024</v>
      </c>
      <c r="E232">
        <v>34.99</v>
      </c>
      <c r="F232" t="s">
        <v>1110</v>
      </c>
      <c r="G232">
        <v>59</v>
      </c>
      <c r="H232" t="s">
        <v>1289</v>
      </c>
      <c r="I232" t="s">
        <v>1290</v>
      </c>
      <c r="J232">
        <v>5323</v>
      </c>
      <c r="K232">
        <v>8</v>
      </c>
      <c r="L232" t="s">
        <v>1022</v>
      </c>
      <c r="M232">
        <v>872</v>
      </c>
      <c r="N232">
        <v>106</v>
      </c>
      <c r="O232">
        <v>978</v>
      </c>
      <c r="P232" t="s">
        <v>2883</v>
      </c>
    </row>
    <row r="233" spans="1:16" x14ac:dyDescent="0.25">
      <c r="A233" t="s">
        <v>1682</v>
      </c>
      <c r="B233" t="s">
        <v>85</v>
      </c>
      <c r="C233" s="3">
        <v>45523</v>
      </c>
      <c r="D233" t="s">
        <v>1024</v>
      </c>
      <c r="E233">
        <v>59.99</v>
      </c>
      <c r="F233" t="s">
        <v>1042</v>
      </c>
      <c r="G233">
        <v>81</v>
      </c>
      <c r="H233" t="s">
        <v>1683</v>
      </c>
      <c r="I233" t="s">
        <v>1683</v>
      </c>
      <c r="J233">
        <v>5293</v>
      </c>
      <c r="K233">
        <v>8</v>
      </c>
      <c r="L233" t="s">
        <v>1022</v>
      </c>
      <c r="M233">
        <v>80231</v>
      </c>
      <c r="N233">
        <v>5219</v>
      </c>
      <c r="O233">
        <v>85450</v>
      </c>
      <c r="P233" t="s">
        <v>2883</v>
      </c>
    </row>
    <row r="234" spans="1:16" x14ac:dyDescent="0.25">
      <c r="A234" t="s">
        <v>2142</v>
      </c>
      <c r="B234" t="s">
        <v>400</v>
      </c>
      <c r="C234" s="3">
        <v>45925</v>
      </c>
      <c r="D234" t="s">
        <v>1024</v>
      </c>
      <c r="E234">
        <v>29.99</v>
      </c>
      <c r="F234" t="s">
        <v>1042</v>
      </c>
      <c r="G234">
        <v>50</v>
      </c>
      <c r="H234" t="s">
        <v>2143</v>
      </c>
      <c r="I234" t="s">
        <v>2143</v>
      </c>
      <c r="J234">
        <v>5274</v>
      </c>
      <c r="K234">
        <v>9</v>
      </c>
      <c r="L234" t="s">
        <v>2077</v>
      </c>
      <c r="M234">
        <v>66657</v>
      </c>
      <c r="N234">
        <v>2204</v>
      </c>
      <c r="O234">
        <v>68861</v>
      </c>
      <c r="P234" t="s">
        <v>2883</v>
      </c>
    </row>
    <row r="235" spans="1:16" x14ac:dyDescent="0.25">
      <c r="A235" t="s">
        <v>1286</v>
      </c>
      <c r="B235" t="s">
        <v>660</v>
      </c>
      <c r="C235" s="3">
        <v>45953</v>
      </c>
      <c r="D235" t="s">
        <v>1024</v>
      </c>
      <c r="E235">
        <v>24.99</v>
      </c>
      <c r="F235" t="s">
        <v>1110</v>
      </c>
      <c r="G235">
        <v>60</v>
      </c>
      <c r="H235" t="s">
        <v>1287</v>
      </c>
      <c r="I235" t="s">
        <v>1287</v>
      </c>
      <c r="J235">
        <v>5233</v>
      </c>
      <c r="K235">
        <v>8</v>
      </c>
      <c r="L235" t="s">
        <v>1022</v>
      </c>
      <c r="M235">
        <v>7067</v>
      </c>
      <c r="N235">
        <v>592</v>
      </c>
      <c r="O235">
        <v>7659</v>
      </c>
      <c r="P235" t="s">
        <v>2883</v>
      </c>
    </row>
    <row r="236" spans="1:16" x14ac:dyDescent="0.25">
      <c r="A236" t="s">
        <v>2144</v>
      </c>
      <c r="B236" t="s">
        <v>634</v>
      </c>
      <c r="C236" s="3">
        <v>43669</v>
      </c>
      <c r="D236" t="s">
        <v>1024</v>
      </c>
      <c r="E236">
        <v>9.99</v>
      </c>
      <c r="F236" t="s">
        <v>1110</v>
      </c>
      <c r="G236">
        <v>17</v>
      </c>
      <c r="H236" t="s">
        <v>2145</v>
      </c>
      <c r="I236" t="s">
        <v>2146</v>
      </c>
      <c r="J236">
        <v>5222</v>
      </c>
      <c r="K236">
        <v>9</v>
      </c>
      <c r="L236" t="s">
        <v>2077</v>
      </c>
      <c r="M236">
        <v>182890</v>
      </c>
      <c r="N236">
        <v>2391</v>
      </c>
      <c r="O236">
        <v>185281</v>
      </c>
      <c r="P236" t="s">
        <v>2883</v>
      </c>
    </row>
    <row r="237" spans="1:16" x14ac:dyDescent="0.25">
      <c r="A237" t="s">
        <v>2137</v>
      </c>
      <c r="B237" t="s">
        <v>453</v>
      </c>
      <c r="C237" s="3">
        <v>44280</v>
      </c>
      <c r="D237" t="s">
        <v>1024</v>
      </c>
      <c r="E237">
        <v>39.99</v>
      </c>
      <c r="F237" t="s">
        <v>1113</v>
      </c>
      <c r="G237">
        <v>20</v>
      </c>
      <c r="H237" t="s">
        <v>2138</v>
      </c>
      <c r="I237" t="s">
        <v>1035</v>
      </c>
      <c r="J237">
        <v>5168</v>
      </c>
      <c r="K237">
        <v>9</v>
      </c>
      <c r="L237" t="s">
        <v>2077</v>
      </c>
      <c r="M237">
        <v>57127</v>
      </c>
      <c r="N237">
        <v>2598</v>
      </c>
      <c r="O237">
        <v>59725</v>
      </c>
      <c r="P237" t="s">
        <v>2883</v>
      </c>
    </row>
    <row r="238" spans="1:16" x14ac:dyDescent="0.25">
      <c r="A238" t="s">
        <v>1291</v>
      </c>
      <c r="B238" t="s">
        <v>224</v>
      </c>
      <c r="C238" s="3">
        <v>45265</v>
      </c>
      <c r="D238" t="s">
        <v>1024</v>
      </c>
      <c r="E238">
        <v>39.99</v>
      </c>
      <c r="F238" t="s">
        <v>1110</v>
      </c>
      <c r="G238">
        <v>15</v>
      </c>
      <c r="H238" t="s">
        <v>1292</v>
      </c>
      <c r="I238" t="s">
        <v>1292</v>
      </c>
      <c r="J238">
        <v>5159</v>
      </c>
      <c r="K238">
        <v>8</v>
      </c>
      <c r="L238" t="s">
        <v>1022</v>
      </c>
      <c r="M238">
        <v>15850</v>
      </c>
      <c r="N238">
        <v>1510</v>
      </c>
      <c r="O238">
        <v>17360</v>
      </c>
      <c r="P238" t="s">
        <v>2883</v>
      </c>
    </row>
    <row r="239" spans="1:16" x14ac:dyDescent="0.25">
      <c r="A239" t="s">
        <v>1923</v>
      </c>
      <c r="B239" t="s">
        <v>531</v>
      </c>
      <c r="C239" s="3">
        <v>46063</v>
      </c>
      <c r="D239" t="s">
        <v>1024</v>
      </c>
      <c r="E239">
        <v>29.99</v>
      </c>
      <c r="F239" t="s">
        <v>1047</v>
      </c>
      <c r="G239">
        <v>281</v>
      </c>
      <c r="H239" t="s">
        <v>1778</v>
      </c>
      <c r="I239" t="s">
        <v>1778</v>
      </c>
      <c r="J239">
        <v>5091</v>
      </c>
      <c r="K239">
        <v>8</v>
      </c>
      <c r="L239" t="s">
        <v>1022</v>
      </c>
      <c r="M239">
        <v>26833</v>
      </c>
      <c r="N239">
        <v>2558</v>
      </c>
      <c r="O239">
        <v>29391</v>
      </c>
      <c r="P239" t="s">
        <v>2883</v>
      </c>
    </row>
    <row r="240" spans="1:16" x14ac:dyDescent="0.25">
      <c r="A240" t="s">
        <v>1294</v>
      </c>
      <c r="B240" t="s">
        <v>134</v>
      </c>
      <c r="C240" s="3">
        <v>46212</v>
      </c>
      <c r="D240" t="s">
        <v>1024</v>
      </c>
      <c r="E240">
        <v>14.99</v>
      </c>
      <c r="F240" t="s">
        <v>1110</v>
      </c>
      <c r="G240">
        <v>17</v>
      </c>
      <c r="H240" t="s">
        <v>1295</v>
      </c>
      <c r="I240" t="s">
        <v>1295</v>
      </c>
      <c r="J240">
        <v>5087</v>
      </c>
      <c r="K240">
        <v>8</v>
      </c>
      <c r="L240" t="s">
        <v>1022</v>
      </c>
      <c r="M240">
        <v>1636</v>
      </c>
      <c r="N240">
        <v>92</v>
      </c>
      <c r="O240">
        <v>1728</v>
      </c>
      <c r="P240" t="s">
        <v>2883</v>
      </c>
    </row>
    <row r="241" spans="1:16" x14ac:dyDescent="0.25">
      <c r="A241" t="s">
        <v>2147</v>
      </c>
      <c r="B241" t="s">
        <v>635</v>
      </c>
      <c r="C241" s="3">
        <v>45323</v>
      </c>
      <c r="D241" t="s">
        <v>1024</v>
      </c>
      <c r="E241">
        <v>59.99</v>
      </c>
      <c r="F241" t="s">
        <v>1047</v>
      </c>
      <c r="G241">
        <v>56</v>
      </c>
      <c r="H241" t="s">
        <v>1717</v>
      </c>
      <c r="I241" t="s">
        <v>1555</v>
      </c>
      <c r="J241">
        <v>5087</v>
      </c>
      <c r="K241">
        <v>9</v>
      </c>
      <c r="L241" t="s">
        <v>2077</v>
      </c>
      <c r="M241">
        <v>27383</v>
      </c>
      <c r="N241">
        <v>1049</v>
      </c>
      <c r="O241">
        <v>28432</v>
      </c>
      <c r="P241" t="s">
        <v>2883</v>
      </c>
    </row>
    <row r="242" spans="1:16" x14ac:dyDescent="0.25">
      <c r="A242" t="s">
        <v>2150</v>
      </c>
      <c r="B242" t="s">
        <v>204</v>
      </c>
      <c r="C242" s="3">
        <v>43964</v>
      </c>
      <c r="D242" t="s">
        <v>1024</v>
      </c>
      <c r="E242">
        <v>29.99</v>
      </c>
      <c r="F242" t="s">
        <v>1189</v>
      </c>
      <c r="G242">
        <v>69</v>
      </c>
      <c r="H242" t="s">
        <v>2151</v>
      </c>
      <c r="I242" t="s">
        <v>1040</v>
      </c>
      <c r="J242">
        <v>4997</v>
      </c>
      <c r="K242">
        <v>9</v>
      </c>
      <c r="L242" t="s">
        <v>2077</v>
      </c>
      <c r="M242">
        <v>209836</v>
      </c>
      <c r="N242">
        <v>5125</v>
      </c>
      <c r="O242">
        <v>214961</v>
      </c>
      <c r="P242" t="s">
        <v>2883</v>
      </c>
    </row>
    <row r="243" spans="1:16" x14ac:dyDescent="0.25">
      <c r="A243" t="s">
        <v>1920</v>
      </c>
      <c r="B243" t="s">
        <v>66</v>
      </c>
      <c r="C243" s="3">
        <v>44998</v>
      </c>
      <c r="D243" t="s">
        <v>1024</v>
      </c>
      <c r="E243">
        <v>39.99</v>
      </c>
      <c r="F243" t="s">
        <v>1047</v>
      </c>
      <c r="G243">
        <v>76</v>
      </c>
      <c r="H243" t="s">
        <v>1921</v>
      </c>
      <c r="I243" t="s">
        <v>1922</v>
      </c>
      <c r="J243">
        <v>4983</v>
      </c>
      <c r="K243">
        <v>8</v>
      </c>
      <c r="L243" t="s">
        <v>1022</v>
      </c>
      <c r="M243">
        <v>39492</v>
      </c>
      <c r="N243">
        <v>2126</v>
      </c>
      <c r="O243">
        <v>41618</v>
      </c>
      <c r="P243" t="s">
        <v>2883</v>
      </c>
    </row>
    <row r="244" spans="1:16" x14ac:dyDescent="0.25">
      <c r="A244" t="s">
        <v>2148</v>
      </c>
      <c r="B244" t="s">
        <v>885</v>
      </c>
      <c r="C244" s="3">
        <v>46093</v>
      </c>
      <c r="D244" t="s">
        <v>1024</v>
      </c>
      <c r="E244">
        <v>34.99</v>
      </c>
      <c r="F244" t="s">
        <v>1047</v>
      </c>
      <c r="G244">
        <v>59</v>
      </c>
      <c r="H244" t="s">
        <v>2149</v>
      </c>
      <c r="I244" t="s">
        <v>2149</v>
      </c>
      <c r="J244">
        <v>4969</v>
      </c>
      <c r="K244">
        <v>9</v>
      </c>
      <c r="L244" t="s">
        <v>2077</v>
      </c>
      <c r="M244">
        <v>24046</v>
      </c>
      <c r="N244">
        <v>993</v>
      </c>
      <c r="O244">
        <v>25039</v>
      </c>
      <c r="P244" t="s">
        <v>2883</v>
      </c>
    </row>
    <row r="245" spans="1:16" x14ac:dyDescent="0.25">
      <c r="A245" t="s">
        <v>2754</v>
      </c>
      <c r="B245" t="s">
        <v>288</v>
      </c>
      <c r="C245" s="3">
        <v>40527</v>
      </c>
      <c r="D245" t="s">
        <v>1019</v>
      </c>
      <c r="F245" t="s">
        <v>1020</v>
      </c>
      <c r="H245" t="s">
        <v>2755</v>
      </c>
      <c r="I245" t="s">
        <v>2755</v>
      </c>
      <c r="J245">
        <v>4921</v>
      </c>
      <c r="K245">
        <v>6</v>
      </c>
      <c r="L245" t="s">
        <v>2338</v>
      </c>
      <c r="M245">
        <v>16733</v>
      </c>
      <c r="N245">
        <v>6261</v>
      </c>
      <c r="O245">
        <v>22994</v>
      </c>
      <c r="P245" t="s">
        <v>2882</v>
      </c>
    </row>
    <row r="246" spans="1:16" x14ac:dyDescent="0.25">
      <c r="A246" t="s">
        <v>2634</v>
      </c>
      <c r="B246" t="s">
        <v>98</v>
      </c>
      <c r="C246" s="3">
        <v>46188</v>
      </c>
      <c r="D246" t="s">
        <v>1019</v>
      </c>
      <c r="F246" t="s">
        <v>1047</v>
      </c>
      <c r="H246" t="s">
        <v>2635</v>
      </c>
      <c r="I246" t="s">
        <v>2635</v>
      </c>
      <c r="J246">
        <v>4915</v>
      </c>
      <c r="K246">
        <v>9</v>
      </c>
      <c r="L246" t="s">
        <v>2077</v>
      </c>
      <c r="M246">
        <v>985</v>
      </c>
      <c r="N246">
        <v>20</v>
      </c>
      <c r="O246">
        <v>1005</v>
      </c>
      <c r="P246" t="s">
        <v>2882</v>
      </c>
    </row>
    <row r="247" spans="1:16" x14ac:dyDescent="0.25">
      <c r="A247" t="s">
        <v>1687</v>
      </c>
      <c r="B247" t="s">
        <v>390</v>
      </c>
      <c r="C247" s="3">
        <v>42425</v>
      </c>
      <c r="D247" t="s">
        <v>1024</v>
      </c>
      <c r="E247">
        <v>24.99</v>
      </c>
      <c r="F247" t="s">
        <v>1042</v>
      </c>
      <c r="G247">
        <v>234</v>
      </c>
      <c r="H247" t="s">
        <v>1688</v>
      </c>
      <c r="I247" t="s">
        <v>1688</v>
      </c>
      <c r="J247">
        <v>4895</v>
      </c>
      <c r="K247">
        <v>8</v>
      </c>
      <c r="L247" t="s">
        <v>1022</v>
      </c>
      <c r="M247">
        <v>46759</v>
      </c>
      <c r="N247">
        <v>2494</v>
      </c>
      <c r="O247">
        <v>49253</v>
      </c>
      <c r="P247" t="s">
        <v>2883</v>
      </c>
    </row>
    <row r="248" spans="1:16" x14ac:dyDescent="0.25">
      <c r="A248" t="s">
        <v>1689</v>
      </c>
      <c r="B248" t="s">
        <v>254</v>
      </c>
      <c r="C248" s="3">
        <v>42030</v>
      </c>
      <c r="D248" t="s">
        <v>1024</v>
      </c>
      <c r="E248">
        <v>24.99</v>
      </c>
      <c r="F248" t="s">
        <v>1042</v>
      </c>
      <c r="G248">
        <v>78</v>
      </c>
      <c r="H248" t="s">
        <v>1690</v>
      </c>
      <c r="I248" t="s">
        <v>1690</v>
      </c>
      <c r="J248">
        <v>4875</v>
      </c>
      <c r="K248">
        <v>8</v>
      </c>
      <c r="L248" t="s">
        <v>1022</v>
      </c>
      <c r="M248">
        <v>127284</v>
      </c>
      <c r="N248">
        <v>7655</v>
      </c>
      <c r="O248">
        <v>134939</v>
      </c>
      <c r="P248" t="s">
        <v>2883</v>
      </c>
    </row>
    <row r="249" spans="1:16" x14ac:dyDescent="0.25">
      <c r="A249" t="s">
        <v>1927</v>
      </c>
      <c r="B249" t="s">
        <v>411</v>
      </c>
      <c r="C249" s="3">
        <v>44404</v>
      </c>
      <c r="D249" t="s">
        <v>1024</v>
      </c>
      <c r="E249">
        <v>69.989999999999995</v>
      </c>
      <c r="F249" t="s">
        <v>1047</v>
      </c>
      <c r="G249">
        <v>195</v>
      </c>
      <c r="H249" t="s">
        <v>1928</v>
      </c>
      <c r="I249" t="s">
        <v>1379</v>
      </c>
      <c r="J249">
        <v>4874</v>
      </c>
      <c r="K249">
        <v>8</v>
      </c>
      <c r="L249" t="s">
        <v>1022</v>
      </c>
      <c r="M249">
        <v>71795</v>
      </c>
      <c r="N249">
        <v>16240</v>
      </c>
      <c r="O249">
        <v>88035</v>
      </c>
      <c r="P249" t="s">
        <v>2883</v>
      </c>
    </row>
    <row r="250" spans="1:16" x14ac:dyDescent="0.25">
      <c r="A250" t="s">
        <v>2375</v>
      </c>
      <c r="B250" t="s">
        <v>893</v>
      </c>
      <c r="C250" s="3">
        <v>44938</v>
      </c>
      <c r="D250" t="s">
        <v>1024</v>
      </c>
      <c r="E250">
        <v>29.99</v>
      </c>
      <c r="F250" t="s">
        <v>1042</v>
      </c>
      <c r="G250">
        <v>67</v>
      </c>
      <c r="H250" t="s">
        <v>1212</v>
      </c>
      <c r="I250" t="s">
        <v>1212</v>
      </c>
      <c r="J250">
        <v>4859</v>
      </c>
      <c r="K250">
        <v>6</v>
      </c>
      <c r="L250" t="s">
        <v>2338</v>
      </c>
      <c r="M250">
        <v>14836</v>
      </c>
      <c r="N250">
        <v>3986</v>
      </c>
      <c r="O250">
        <v>18822</v>
      </c>
      <c r="P250" t="s">
        <v>2883</v>
      </c>
    </row>
    <row r="251" spans="1:16" x14ac:dyDescent="0.25">
      <c r="A251" t="s">
        <v>2376</v>
      </c>
      <c r="B251" t="s">
        <v>437</v>
      </c>
      <c r="C251" s="3">
        <v>44533</v>
      </c>
      <c r="D251" t="s">
        <v>1024</v>
      </c>
      <c r="E251">
        <v>34.99</v>
      </c>
      <c r="F251" t="s">
        <v>1110</v>
      </c>
      <c r="G251">
        <v>171</v>
      </c>
      <c r="H251" t="s">
        <v>2377</v>
      </c>
      <c r="I251" t="s">
        <v>2377</v>
      </c>
      <c r="J251">
        <v>4833</v>
      </c>
      <c r="K251">
        <v>6</v>
      </c>
      <c r="L251" t="s">
        <v>2338</v>
      </c>
      <c r="M251">
        <v>27854</v>
      </c>
      <c r="N251">
        <v>8695</v>
      </c>
      <c r="O251">
        <v>36549</v>
      </c>
      <c r="P251" t="s">
        <v>2883</v>
      </c>
    </row>
    <row r="252" spans="1:16" x14ac:dyDescent="0.25">
      <c r="A252" t="s">
        <v>1822</v>
      </c>
      <c r="B252" t="s">
        <v>792</v>
      </c>
      <c r="C252" s="3">
        <v>44033</v>
      </c>
      <c r="D252" t="s">
        <v>1019</v>
      </c>
      <c r="F252" t="s">
        <v>1020</v>
      </c>
      <c r="G252">
        <v>191</v>
      </c>
      <c r="H252" t="s">
        <v>1823</v>
      </c>
      <c r="I252" t="s">
        <v>1035</v>
      </c>
      <c r="J252">
        <v>4784</v>
      </c>
      <c r="K252">
        <v>8</v>
      </c>
      <c r="L252" t="s">
        <v>1022</v>
      </c>
      <c r="M252">
        <v>47275</v>
      </c>
      <c r="N252">
        <v>5146</v>
      </c>
      <c r="O252">
        <v>52421</v>
      </c>
      <c r="P252" t="s">
        <v>2882</v>
      </c>
    </row>
    <row r="253" spans="1:16" x14ac:dyDescent="0.25">
      <c r="A253" t="s">
        <v>2154</v>
      </c>
      <c r="B253" t="s">
        <v>301</v>
      </c>
      <c r="C253" s="3">
        <v>40470</v>
      </c>
      <c r="D253" t="s">
        <v>1024</v>
      </c>
      <c r="E253">
        <v>9.99</v>
      </c>
      <c r="F253" t="s">
        <v>1042</v>
      </c>
      <c r="G253">
        <v>75</v>
      </c>
      <c r="H253" t="s">
        <v>1105</v>
      </c>
      <c r="I253" t="s">
        <v>1051</v>
      </c>
      <c r="J253">
        <v>4778</v>
      </c>
      <c r="K253">
        <v>9</v>
      </c>
      <c r="L253" t="s">
        <v>2077</v>
      </c>
      <c r="M253">
        <v>199047</v>
      </c>
      <c r="N253">
        <v>7831</v>
      </c>
      <c r="O253">
        <v>206878</v>
      </c>
      <c r="P253" t="s">
        <v>2883</v>
      </c>
    </row>
    <row r="254" spans="1:16" x14ac:dyDescent="0.25">
      <c r="A254" t="s">
        <v>2543</v>
      </c>
      <c r="B254" t="s">
        <v>795</v>
      </c>
      <c r="C254" s="3">
        <v>45174</v>
      </c>
      <c r="D254" t="s">
        <v>1024</v>
      </c>
      <c r="E254">
        <v>49.99</v>
      </c>
      <c r="F254" t="s">
        <v>1042</v>
      </c>
      <c r="G254">
        <v>82</v>
      </c>
      <c r="H254" t="s">
        <v>1206</v>
      </c>
      <c r="I254" t="s">
        <v>1051</v>
      </c>
      <c r="J254">
        <v>4777</v>
      </c>
      <c r="K254">
        <v>5</v>
      </c>
      <c r="L254" t="s">
        <v>2514</v>
      </c>
      <c r="M254">
        <v>66355</v>
      </c>
      <c r="N254">
        <v>51825</v>
      </c>
      <c r="O254">
        <v>118180</v>
      </c>
      <c r="P254" t="s">
        <v>2883</v>
      </c>
    </row>
    <row r="255" spans="1:16" x14ac:dyDescent="0.25">
      <c r="A255" t="s">
        <v>1817</v>
      </c>
      <c r="B255" t="s">
        <v>929</v>
      </c>
      <c r="C255" s="3">
        <v>45134</v>
      </c>
      <c r="D255" t="s">
        <v>1019</v>
      </c>
      <c r="F255" t="s">
        <v>1026</v>
      </c>
      <c r="G255">
        <v>317</v>
      </c>
      <c r="H255" t="s">
        <v>1818</v>
      </c>
      <c r="I255" t="s">
        <v>1819</v>
      </c>
      <c r="J255">
        <v>4759</v>
      </c>
      <c r="K255">
        <v>8</v>
      </c>
      <c r="L255" t="s">
        <v>1022</v>
      </c>
      <c r="M255">
        <v>2640</v>
      </c>
      <c r="N255">
        <v>218</v>
      </c>
      <c r="O255">
        <v>2858</v>
      </c>
      <c r="P255" t="s">
        <v>2882</v>
      </c>
    </row>
    <row r="256" spans="1:16" x14ac:dyDescent="0.25">
      <c r="A256" t="s">
        <v>2374</v>
      </c>
      <c r="B256" t="s">
        <v>255</v>
      </c>
      <c r="C256" s="3">
        <v>44595</v>
      </c>
      <c r="D256" t="s">
        <v>1024</v>
      </c>
      <c r="E256">
        <v>59.99</v>
      </c>
      <c r="F256" t="s">
        <v>1042</v>
      </c>
      <c r="G256">
        <v>65</v>
      </c>
      <c r="H256" t="s">
        <v>1690</v>
      </c>
      <c r="I256" t="s">
        <v>1690</v>
      </c>
      <c r="J256">
        <v>4738</v>
      </c>
      <c r="K256">
        <v>6</v>
      </c>
      <c r="L256" t="s">
        <v>2338</v>
      </c>
      <c r="M256">
        <v>66439</v>
      </c>
      <c r="N256">
        <v>19591</v>
      </c>
      <c r="O256">
        <v>86030</v>
      </c>
      <c r="P256" t="s">
        <v>2883</v>
      </c>
    </row>
    <row r="257" spans="1:16" x14ac:dyDescent="0.25">
      <c r="A257" t="s">
        <v>2152</v>
      </c>
      <c r="B257" t="s">
        <v>462</v>
      </c>
      <c r="C257" s="3">
        <v>42121</v>
      </c>
      <c r="D257" t="s">
        <v>1024</v>
      </c>
      <c r="E257">
        <v>39.99</v>
      </c>
      <c r="F257" t="s">
        <v>1110</v>
      </c>
      <c r="H257" t="s">
        <v>785</v>
      </c>
      <c r="I257" t="s">
        <v>2153</v>
      </c>
      <c r="J257">
        <v>4735</v>
      </c>
      <c r="K257">
        <v>9</v>
      </c>
      <c r="L257" t="s">
        <v>2077</v>
      </c>
      <c r="M257">
        <v>95619</v>
      </c>
      <c r="N257">
        <v>4156</v>
      </c>
      <c r="O257">
        <v>99775</v>
      </c>
      <c r="P257" t="s">
        <v>2883</v>
      </c>
    </row>
    <row r="258" spans="1:16" x14ac:dyDescent="0.25">
      <c r="A258" t="s">
        <v>1296</v>
      </c>
      <c r="B258" t="s">
        <v>420</v>
      </c>
      <c r="C258" s="3">
        <v>44581</v>
      </c>
      <c r="D258" t="s">
        <v>1024</v>
      </c>
      <c r="E258">
        <v>29.99</v>
      </c>
      <c r="F258" t="s">
        <v>1113</v>
      </c>
      <c r="G258">
        <v>83</v>
      </c>
      <c r="H258" t="s">
        <v>1297</v>
      </c>
      <c r="I258" t="s">
        <v>1297</v>
      </c>
      <c r="J258">
        <v>4733</v>
      </c>
      <c r="K258">
        <v>8</v>
      </c>
      <c r="L258" t="s">
        <v>1022</v>
      </c>
      <c r="M258">
        <v>30410</v>
      </c>
      <c r="N258">
        <v>4286</v>
      </c>
      <c r="O258">
        <v>34696</v>
      </c>
      <c r="P258" t="s">
        <v>2883</v>
      </c>
    </row>
    <row r="259" spans="1:16" x14ac:dyDescent="0.25">
      <c r="A259" t="s">
        <v>2373</v>
      </c>
      <c r="B259" t="s">
        <v>40</v>
      </c>
      <c r="C259" s="3">
        <v>45735</v>
      </c>
      <c r="D259" t="s">
        <v>1024</v>
      </c>
      <c r="E259">
        <v>69.989999999999995</v>
      </c>
      <c r="F259" t="s">
        <v>1042</v>
      </c>
      <c r="G259">
        <v>75</v>
      </c>
      <c r="H259" t="s">
        <v>1686</v>
      </c>
      <c r="I259" t="s">
        <v>1212</v>
      </c>
      <c r="J259">
        <v>4700</v>
      </c>
      <c r="K259">
        <v>6</v>
      </c>
      <c r="L259" t="s">
        <v>2338</v>
      </c>
      <c r="M259">
        <v>12383</v>
      </c>
      <c r="N259">
        <v>3662</v>
      </c>
      <c r="O259">
        <v>16045</v>
      </c>
      <c r="P259" t="s">
        <v>2883</v>
      </c>
    </row>
    <row r="260" spans="1:16" x14ac:dyDescent="0.25">
      <c r="A260" t="s">
        <v>1298</v>
      </c>
      <c r="B260" t="s">
        <v>882</v>
      </c>
      <c r="C260" s="3">
        <v>42782</v>
      </c>
      <c r="D260" t="s">
        <v>1024</v>
      </c>
      <c r="E260">
        <v>19.989999999999998</v>
      </c>
      <c r="F260" t="s">
        <v>1086</v>
      </c>
      <c r="G260">
        <v>160</v>
      </c>
      <c r="H260" t="s">
        <v>1299</v>
      </c>
      <c r="I260" t="s">
        <v>1300</v>
      </c>
      <c r="J260">
        <v>4628</v>
      </c>
      <c r="K260">
        <v>8</v>
      </c>
      <c r="L260" t="s">
        <v>1022</v>
      </c>
      <c r="M260">
        <v>66973</v>
      </c>
      <c r="N260">
        <v>7608</v>
      </c>
      <c r="O260">
        <v>74581</v>
      </c>
      <c r="P260" t="s">
        <v>2883</v>
      </c>
    </row>
    <row r="261" spans="1:16" x14ac:dyDescent="0.25">
      <c r="A261" t="s">
        <v>1301</v>
      </c>
      <c r="B261" t="s">
        <v>365</v>
      </c>
      <c r="C261" s="3">
        <v>45428</v>
      </c>
      <c r="D261" t="s">
        <v>1024</v>
      </c>
      <c r="E261">
        <v>59.99</v>
      </c>
      <c r="F261" t="s">
        <v>1113</v>
      </c>
      <c r="G261">
        <v>77</v>
      </c>
      <c r="H261" t="s">
        <v>1302</v>
      </c>
      <c r="I261" t="s">
        <v>1223</v>
      </c>
      <c r="J261">
        <v>4619</v>
      </c>
      <c r="K261">
        <v>8</v>
      </c>
      <c r="L261" t="s">
        <v>1022</v>
      </c>
      <c r="M261">
        <v>48297</v>
      </c>
      <c r="N261">
        <v>3150</v>
      </c>
      <c r="O261">
        <v>51447</v>
      </c>
      <c r="P261" t="s">
        <v>2883</v>
      </c>
    </row>
    <row r="262" spans="1:16" x14ac:dyDescent="0.25">
      <c r="A262" t="s">
        <v>1924</v>
      </c>
      <c r="B262" t="s">
        <v>126</v>
      </c>
      <c r="C262" s="3">
        <v>44358</v>
      </c>
      <c r="D262" t="s">
        <v>1024</v>
      </c>
      <c r="E262">
        <v>34.99</v>
      </c>
      <c r="F262" t="s">
        <v>1047</v>
      </c>
      <c r="G262">
        <v>414</v>
      </c>
      <c r="H262" t="s">
        <v>1925</v>
      </c>
      <c r="I262" t="s">
        <v>1926</v>
      </c>
      <c r="J262">
        <v>4619</v>
      </c>
      <c r="K262">
        <v>8</v>
      </c>
      <c r="L262" t="s">
        <v>1022</v>
      </c>
      <c r="M262">
        <v>11780</v>
      </c>
      <c r="N262">
        <v>1907</v>
      </c>
      <c r="O262">
        <v>13687</v>
      </c>
      <c r="P262" t="s">
        <v>2883</v>
      </c>
    </row>
    <row r="263" spans="1:16" x14ac:dyDescent="0.25">
      <c r="A263" t="s">
        <v>1079</v>
      </c>
      <c r="B263" t="s">
        <v>495</v>
      </c>
      <c r="C263" s="3">
        <v>43462</v>
      </c>
      <c r="D263" t="s">
        <v>1024</v>
      </c>
      <c r="E263">
        <v>6.99</v>
      </c>
      <c r="F263" t="s">
        <v>1067</v>
      </c>
      <c r="H263" t="s">
        <v>1080</v>
      </c>
      <c r="I263" t="s">
        <v>1080</v>
      </c>
      <c r="J263">
        <v>4616</v>
      </c>
      <c r="K263">
        <v>8</v>
      </c>
      <c r="L263" t="s">
        <v>1022</v>
      </c>
      <c r="M263">
        <v>15456</v>
      </c>
      <c r="N263">
        <v>1088</v>
      </c>
      <c r="O263">
        <v>16544</v>
      </c>
      <c r="P263" t="s">
        <v>2883</v>
      </c>
    </row>
    <row r="264" spans="1:16" x14ac:dyDescent="0.25">
      <c r="A264" t="s">
        <v>1691</v>
      </c>
      <c r="B264" t="s">
        <v>370</v>
      </c>
      <c r="C264" s="3">
        <v>45554</v>
      </c>
      <c r="D264" t="s">
        <v>1024</v>
      </c>
      <c r="E264">
        <v>59.99</v>
      </c>
      <c r="F264" t="s">
        <v>1042</v>
      </c>
      <c r="G264">
        <v>48</v>
      </c>
      <c r="H264" t="s">
        <v>1692</v>
      </c>
      <c r="I264" t="s">
        <v>1223</v>
      </c>
      <c r="J264">
        <v>4613</v>
      </c>
      <c r="K264">
        <v>8</v>
      </c>
      <c r="L264" t="s">
        <v>1022</v>
      </c>
      <c r="M264">
        <v>18943</v>
      </c>
      <c r="N264">
        <v>2216</v>
      </c>
      <c r="O264">
        <v>21159</v>
      </c>
      <c r="P264" t="s">
        <v>2883</v>
      </c>
    </row>
    <row r="265" spans="1:16" x14ac:dyDescent="0.25">
      <c r="A265" t="s">
        <v>1076</v>
      </c>
      <c r="B265" t="s">
        <v>94</v>
      </c>
      <c r="C265" s="3">
        <v>45841</v>
      </c>
      <c r="D265" t="s">
        <v>1019</v>
      </c>
      <c r="F265" t="s">
        <v>1020</v>
      </c>
      <c r="H265" t="s">
        <v>1077</v>
      </c>
      <c r="I265" t="s">
        <v>1078</v>
      </c>
      <c r="J265">
        <v>4599</v>
      </c>
      <c r="K265">
        <v>8</v>
      </c>
      <c r="L265" t="s">
        <v>1022</v>
      </c>
      <c r="M265">
        <v>8616</v>
      </c>
      <c r="N265">
        <v>673</v>
      </c>
      <c r="O265">
        <v>9289</v>
      </c>
      <c r="P265" t="s">
        <v>2882</v>
      </c>
    </row>
    <row r="266" spans="1:16" x14ac:dyDescent="0.25">
      <c r="A266" t="s">
        <v>2756</v>
      </c>
      <c r="B266" t="s">
        <v>872</v>
      </c>
      <c r="C266" s="3">
        <v>46097</v>
      </c>
      <c r="D266" t="s">
        <v>1019</v>
      </c>
      <c r="F266" t="s">
        <v>1020</v>
      </c>
      <c r="H266" t="s">
        <v>2757</v>
      </c>
      <c r="I266" t="s">
        <v>2473</v>
      </c>
      <c r="J266">
        <v>4552</v>
      </c>
      <c r="K266">
        <v>5</v>
      </c>
      <c r="L266" t="s">
        <v>2514</v>
      </c>
      <c r="M266">
        <v>2453</v>
      </c>
      <c r="N266">
        <v>1706</v>
      </c>
      <c r="O266">
        <v>4159</v>
      </c>
      <c r="P266" t="s">
        <v>2882</v>
      </c>
    </row>
    <row r="267" spans="1:16" x14ac:dyDescent="0.25">
      <c r="A267" t="s">
        <v>1815</v>
      </c>
      <c r="B267" t="s">
        <v>376</v>
      </c>
      <c r="C267" s="3">
        <v>44472</v>
      </c>
      <c r="D267" t="s">
        <v>1019</v>
      </c>
      <c r="F267" t="s">
        <v>1020</v>
      </c>
      <c r="G267">
        <v>38</v>
      </c>
      <c r="H267" t="s">
        <v>1816</v>
      </c>
      <c r="I267" t="s">
        <v>1816</v>
      </c>
      <c r="J267">
        <v>4535</v>
      </c>
      <c r="K267">
        <v>8</v>
      </c>
      <c r="L267" t="s">
        <v>1022</v>
      </c>
      <c r="M267">
        <v>11863</v>
      </c>
      <c r="N267">
        <v>1314</v>
      </c>
      <c r="O267">
        <v>13177</v>
      </c>
      <c r="P267" t="s">
        <v>2882</v>
      </c>
    </row>
    <row r="268" spans="1:16" x14ac:dyDescent="0.25">
      <c r="A268" t="s">
        <v>2155</v>
      </c>
      <c r="B268" t="s">
        <v>5</v>
      </c>
      <c r="C268" s="3">
        <v>45860</v>
      </c>
      <c r="D268" t="s">
        <v>1024</v>
      </c>
      <c r="E268">
        <v>34.99</v>
      </c>
      <c r="F268" t="s">
        <v>1110</v>
      </c>
      <c r="G268">
        <v>53</v>
      </c>
      <c r="H268" t="s">
        <v>2156</v>
      </c>
      <c r="I268" t="s">
        <v>2072</v>
      </c>
      <c r="J268">
        <v>4515</v>
      </c>
      <c r="K268">
        <v>9</v>
      </c>
      <c r="L268" t="s">
        <v>2077</v>
      </c>
      <c r="M268">
        <v>35823</v>
      </c>
      <c r="N268">
        <v>1306</v>
      </c>
      <c r="O268">
        <v>37129</v>
      </c>
      <c r="P268" t="s">
        <v>2883</v>
      </c>
    </row>
    <row r="269" spans="1:16" x14ac:dyDescent="0.25">
      <c r="A269" t="s">
        <v>1072</v>
      </c>
      <c r="B269" t="s">
        <v>284</v>
      </c>
      <c r="C269" s="3">
        <v>45126</v>
      </c>
      <c r="D269" t="s">
        <v>1019</v>
      </c>
      <c r="F269" t="s">
        <v>2892</v>
      </c>
      <c r="H269" t="s">
        <v>1073</v>
      </c>
      <c r="I269" t="s">
        <v>1073</v>
      </c>
      <c r="J269">
        <v>4512</v>
      </c>
      <c r="K269">
        <v>8</v>
      </c>
      <c r="L269" t="s">
        <v>1022</v>
      </c>
      <c r="M269">
        <v>10056</v>
      </c>
      <c r="N269">
        <v>2408</v>
      </c>
      <c r="O269">
        <v>12464</v>
      </c>
      <c r="P269" t="s">
        <v>2882</v>
      </c>
    </row>
    <row r="270" spans="1:16" x14ac:dyDescent="0.25">
      <c r="A270" t="s">
        <v>2371</v>
      </c>
      <c r="B270" t="s">
        <v>839</v>
      </c>
      <c r="C270" s="3">
        <v>45882</v>
      </c>
      <c r="D270" t="s">
        <v>1024</v>
      </c>
      <c r="E270">
        <v>19.989999999999998</v>
      </c>
      <c r="F270" t="s">
        <v>1047</v>
      </c>
      <c r="H270" t="s">
        <v>2372</v>
      </c>
      <c r="I270" t="s">
        <v>2372</v>
      </c>
      <c r="J270">
        <v>4512</v>
      </c>
      <c r="K270">
        <v>6</v>
      </c>
      <c r="L270" t="s">
        <v>2338</v>
      </c>
      <c r="M270">
        <v>4701</v>
      </c>
      <c r="N270">
        <v>1244</v>
      </c>
      <c r="O270">
        <v>5945</v>
      </c>
      <c r="P270" t="s">
        <v>2883</v>
      </c>
    </row>
    <row r="271" spans="1:16" x14ac:dyDescent="0.25">
      <c r="A271" t="s">
        <v>1081</v>
      </c>
      <c r="B271" t="s">
        <v>614</v>
      </c>
      <c r="C271" s="3">
        <v>43935</v>
      </c>
      <c r="D271" t="s">
        <v>1024</v>
      </c>
      <c r="E271">
        <v>7.99</v>
      </c>
      <c r="F271" t="s">
        <v>1067</v>
      </c>
      <c r="H271" t="s">
        <v>1082</v>
      </c>
      <c r="I271" t="s">
        <v>1082</v>
      </c>
      <c r="J271">
        <v>4500</v>
      </c>
      <c r="K271">
        <v>8</v>
      </c>
      <c r="L271" t="s">
        <v>1022</v>
      </c>
      <c r="M271">
        <v>3987</v>
      </c>
      <c r="N271">
        <v>327</v>
      </c>
      <c r="O271">
        <v>4314</v>
      </c>
      <c r="P271" t="s">
        <v>2883</v>
      </c>
    </row>
    <row r="272" spans="1:16" x14ac:dyDescent="0.25">
      <c r="A272" t="s">
        <v>2157</v>
      </c>
      <c r="B272" t="s">
        <v>868</v>
      </c>
      <c r="C272" s="3">
        <v>45392</v>
      </c>
      <c r="D272" t="s">
        <v>1024</v>
      </c>
      <c r="E272">
        <v>23.99</v>
      </c>
      <c r="F272" t="s">
        <v>1113</v>
      </c>
      <c r="G272">
        <v>55</v>
      </c>
      <c r="H272" t="s">
        <v>2158</v>
      </c>
      <c r="I272" t="s">
        <v>2158</v>
      </c>
      <c r="J272">
        <v>4481</v>
      </c>
      <c r="K272">
        <v>9</v>
      </c>
      <c r="L272" t="s">
        <v>2077</v>
      </c>
      <c r="M272">
        <v>37581</v>
      </c>
      <c r="N272">
        <v>1566</v>
      </c>
      <c r="O272">
        <v>39147</v>
      </c>
      <c r="P272" t="s">
        <v>2883</v>
      </c>
    </row>
    <row r="273" spans="1:16" x14ac:dyDescent="0.25">
      <c r="A273" t="s">
        <v>1306</v>
      </c>
      <c r="B273" t="s">
        <v>185</v>
      </c>
      <c r="C273" s="3">
        <v>42471</v>
      </c>
      <c r="D273" t="s">
        <v>1024</v>
      </c>
      <c r="E273">
        <v>59.99</v>
      </c>
      <c r="F273" t="s">
        <v>1189</v>
      </c>
      <c r="G273">
        <v>43</v>
      </c>
      <c r="H273" t="s">
        <v>1304</v>
      </c>
      <c r="I273" t="s">
        <v>1304</v>
      </c>
      <c r="J273">
        <v>4480</v>
      </c>
      <c r="K273">
        <v>8</v>
      </c>
      <c r="L273" t="s">
        <v>1022</v>
      </c>
      <c r="M273">
        <v>156696</v>
      </c>
      <c r="N273">
        <v>10041</v>
      </c>
      <c r="O273">
        <v>166737</v>
      </c>
      <c r="P273" t="s">
        <v>2883</v>
      </c>
    </row>
    <row r="274" spans="1:16" x14ac:dyDescent="0.25">
      <c r="A274" t="s">
        <v>1293</v>
      </c>
      <c r="B274" t="s">
        <v>542</v>
      </c>
      <c r="C274" s="3">
        <v>44573</v>
      </c>
      <c r="D274" t="s">
        <v>1024</v>
      </c>
      <c r="E274">
        <v>39.99</v>
      </c>
      <c r="F274" t="s">
        <v>1189</v>
      </c>
      <c r="G274">
        <v>100</v>
      </c>
      <c r="H274" t="s">
        <v>1233</v>
      </c>
      <c r="I274" t="s">
        <v>1233</v>
      </c>
      <c r="J274">
        <v>4401</v>
      </c>
      <c r="K274">
        <v>8</v>
      </c>
      <c r="L274" t="s">
        <v>1022</v>
      </c>
      <c r="M274">
        <v>43181</v>
      </c>
      <c r="N274">
        <v>6908</v>
      </c>
      <c r="O274">
        <v>50089</v>
      </c>
      <c r="P274" t="s">
        <v>2883</v>
      </c>
    </row>
    <row r="275" spans="1:16" x14ac:dyDescent="0.25">
      <c r="A275" t="s">
        <v>998</v>
      </c>
      <c r="B275" t="s">
        <v>903</v>
      </c>
      <c r="C275" s="3">
        <v>39036</v>
      </c>
      <c r="D275" t="s">
        <v>1024</v>
      </c>
      <c r="E275">
        <v>24.99</v>
      </c>
      <c r="F275" t="s">
        <v>1047</v>
      </c>
      <c r="H275" t="s">
        <v>1644</v>
      </c>
      <c r="I275" t="s">
        <v>1555</v>
      </c>
      <c r="J275">
        <v>4398</v>
      </c>
      <c r="K275">
        <v>9</v>
      </c>
      <c r="L275" t="s">
        <v>2077</v>
      </c>
      <c r="M275">
        <v>20689</v>
      </c>
      <c r="N275">
        <v>929</v>
      </c>
      <c r="O275">
        <v>21618</v>
      </c>
      <c r="P275" t="s">
        <v>2883</v>
      </c>
    </row>
    <row r="276" spans="1:16" x14ac:dyDescent="0.25">
      <c r="A276" t="s">
        <v>1820</v>
      </c>
      <c r="B276" t="s">
        <v>18</v>
      </c>
      <c r="C276" s="3">
        <v>45093</v>
      </c>
      <c r="D276" t="s">
        <v>1019</v>
      </c>
      <c r="F276" t="s">
        <v>1020</v>
      </c>
      <c r="G276">
        <v>100</v>
      </c>
      <c r="H276" t="s">
        <v>1821</v>
      </c>
      <c r="I276" t="s">
        <v>1821</v>
      </c>
      <c r="J276">
        <v>4319</v>
      </c>
      <c r="K276">
        <v>8</v>
      </c>
      <c r="L276" t="s">
        <v>1022</v>
      </c>
      <c r="M276">
        <v>59862</v>
      </c>
      <c r="N276">
        <v>6100</v>
      </c>
      <c r="O276">
        <v>65962</v>
      </c>
      <c r="P276" t="s">
        <v>2882</v>
      </c>
    </row>
    <row r="277" spans="1:16" x14ac:dyDescent="0.25">
      <c r="A277" t="s">
        <v>1312</v>
      </c>
      <c r="B277" t="s">
        <v>521</v>
      </c>
      <c r="C277" s="3">
        <v>45918</v>
      </c>
      <c r="D277" t="s">
        <v>1024</v>
      </c>
      <c r="E277">
        <v>9.99</v>
      </c>
      <c r="F277" t="s">
        <v>1208</v>
      </c>
      <c r="G277">
        <v>139</v>
      </c>
      <c r="H277" t="s">
        <v>1313</v>
      </c>
      <c r="I277" t="s">
        <v>1313</v>
      </c>
      <c r="J277">
        <v>4307</v>
      </c>
      <c r="K277">
        <v>8</v>
      </c>
      <c r="L277" t="s">
        <v>1022</v>
      </c>
      <c r="M277">
        <v>56649</v>
      </c>
      <c r="N277">
        <v>3546</v>
      </c>
      <c r="O277">
        <v>60195</v>
      </c>
      <c r="P277" t="s">
        <v>2883</v>
      </c>
    </row>
    <row r="278" spans="1:16" x14ac:dyDescent="0.25">
      <c r="A278" t="s">
        <v>2761</v>
      </c>
      <c r="B278" t="s">
        <v>277</v>
      </c>
      <c r="C278" s="3">
        <v>45489</v>
      </c>
      <c r="D278" t="s">
        <v>1019</v>
      </c>
      <c r="F278" t="s">
        <v>1020</v>
      </c>
      <c r="G278">
        <v>60</v>
      </c>
      <c r="H278" t="s">
        <v>2762</v>
      </c>
      <c r="I278" t="s">
        <v>2709</v>
      </c>
      <c r="J278">
        <v>4301</v>
      </c>
      <c r="K278">
        <v>6</v>
      </c>
      <c r="L278" t="s">
        <v>2338</v>
      </c>
      <c r="M278">
        <v>15189</v>
      </c>
      <c r="N278">
        <v>4258</v>
      </c>
      <c r="O278">
        <v>19447</v>
      </c>
      <c r="P278" t="s">
        <v>2882</v>
      </c>
    </row>
    <row r="279" spans="1:16" x14ac:dyDescent="0.25">
      <c r="A279" t="s">
        <v>2380</v>
      </c>
      <c r="B279" t="s">
        <v>473</v>
      </c>
      <c r="C279" s="3">
        <v>45860</v>
      </c>
      <c r="D279" t="s">
        <v>1024</v>
      </c>
      <c r="E279">
        <v>39.99</v>
      </c>
      <c r="F279" t="s">
        <v>1086</v>
      </c>
      <c r="G279">
        <v>44</v>
      </c>
      <c r="H279" t="s">
        <v>2381</v>
      </c>
      <c r="I279" t="s">
        <v>2381</v>
      </c>
      <c r="J279">
        <v>4300</v>
      </c>
      <c r="K279">
        <v>6</v>
      </c>
      <c r="L279" t="s">
        <v>2338</v>
      </c>
      <c r="M279">
        <v>6277</v>
      </c>
      <c r="N279">
        <v>1818</v>
      </c>
      <c r="O279">
        <v>8095</v>
      </c>
      <c r="P279" t="s">
        <v>2883</v>
      </c>
    </row>
    <row r="280" spans="1:16" x14ac:dyDescent="0.25">
      <c r="A280" t="s">
        <v>1316</v>
      </c>
      <c r="B280" t="s">
        <v>718</v>
      </c>
      <c r="C280" s="3">
        <v>45951</v>
      </c>
      <c r="D280" t="s">
        <v>1024</v>
      </c>
      <c r="E280">
        <v>7.99</v>
      </c>
      <c r="F280" t="s">
        <v>1208</v>
      </c>
      <c r="G280">
        <v>96</v>
      </c>
      <c r="H280" t="s">
        <v>1317</v>
      </c>
      <c r="I280" t="s">
        <v>1317</v>
      </c>
      <c r="J280">
        <v>4296</v>
      </c>
      <c r="K280">
        <v>8</v>
      </c>
      <c r="L280" t="s">
        <v>1022</v>
      </c>
      <c r="M280">
        <v>31713</v>
      </c>
      <c r="N280">
        <v>3554</v>
      </c>
      <c r="O280">
        <v>35267</v>
      </c>
      <c r="P280" t="s">
        <v>2883</v>
      </c>
    </row>
    <row r="281" spans="1:16" x14ac:dyDescent="0.25">
      <c r="A281" t="s">
        <v>2162</v>
      </c>
      <c r="B281" t="s">
        <v>399</v>
      </c>
      <c r="C281" s="3">
        <v>44091</v>
      </c>
      <c r="D281" t="s">
        <v>1024</v>
      </c>
      <c r="E281">
        <v>24.99</v>
      </c>
      <c r="F281" t="s">
        <v>1042</v>
      </c>
      <c r="G281">
        <v>49</v>
      </c>
      <c r="H281" t="s">
        <v>2143</v>
      </c>
      <c r="I281" t="s">
        <v>2143</v>
      </c>
      <c r="J281">
        <v>4289</v>
      </c>
      <c r="K281">
        <v>9</v>
      </c>
      <c r="L281" t="s">
        <v>2077</v>
      </c>
      <c r="M281">
        <v>150526</v>
      </c>
      <c r="N281">
        <v>2451</v>
      </c>
      <c r="O281">
        <v>152977</v>
      </c>
      <c r="P281" t="s">
        <v>2883</v>
      </c>
    </row>
    <row r="282" spans="1:16" x14ac:dyDescent="0.25">
      <c r="A282" t="s">
        <v>1303</v>
      </c>
      <c r="B282" t="s">
        <v>733</v>
      </c>
      <c r="C282" s="3">
        <v>43545</v>
      </c>
      <c r="D282" t="s">
        <v>1024</v>
      </c>
      <c r="E282">
        <v>59.99</v>
      </c>
      <c r="F282" t="s">
        <v>1113</v>
      </c>
      <c r="G282">
        <v>34</v>
      </c>
      <c r="H282" t="s">
        <v>1304</v>
      </c>
      <c r="I282" t="s">
        <v>1305</v>
      </c>
      <c r="J282">
        <v>4287</v>
      </c>
      <c r="K282">
        <v>8</v>
      </c>
      <c r="L282" t="s">
        <v>1022</v>
      </c>
      <c r="M282">
        <v>94315</v>
      </c>
      <c r="N282">
        <v>6174</v>
      </c>
      <c r="O282">
        <v>100489</v>
      </c>
      <c r="P282" t="s">
        <v>2883</v>
      </c>
    </row>
    <row r="283" spans="1:16" x14ac:dyDescent="0.25">
      <c r="A283" t="s">
        <v>1308</v>
      </c>
      <c r="B283" t="s">
        <v>823</v>
      </c>
      <c r="C283" s="3">
        <v>45827</v>
      </c>
      <c r="D283" t="s">
        <v>1024</v>
      </c>
      <c r="E283">
        <v>19.989999999999998</v>
      </c>
      <c r="F283" t="s">
        <v>1110</v>
      </c>
      <c r="G283">
        <v>15</v>
      </c>
      <c r="H283" t="s">
        <v>1309</v>
      </c>
      <c r="I283" t="s">
        <v>1309</v>
      </c>
      <c r="J283">
        <v>4282</v>
      </c>
      <c r="K283">
        <v>8</v>
      </c>
      <c r="L283" t="s">
        <v>1022</v>
      </c>
      <c r="M283">
        <v>33123</v>
      </c>
      <c r="N283">
        <v>2782</v>
      </c>
      <c r="O283">
        <v>35905</v>
      </c>
      <c r="P283" t="s">
        <v>2883</v>
      </c>
    </row>
    <row r="284" spans="1:16" x14ac:dyDescent="0.25">
      <c r="A284" t="s">
        <v>2544</v>
      </c>
      <c r="B284" t="s">
        <v>283</v>
      </c>
      <c r="C284" s="3">
        <v>46209</v>
      </c>
      <c r="D284" t="s">
        <v>1024</v>
      </c>
      <c r="E284">
        <v>19.989999999999998</v>
      </c>
      <c r="F284" t="s">
        <v>1047</v>
      </c>
      <c r="G284">
        <v>21</v>
      </c>
      <c r="H284" t="s">
        <v>2545</v>
      </c>
      <c r="I284" t="s">
        <v>2421</v>
      </c>
      <c r="J284">
        <v>4262</v>
      </c>
      <c r="K284">
        <v>5</v>
      </c>
      <c r="L284" t="s">
        <v>2514</v>
      </c>
      <c r="M284">
        <v>346</v>
      </c>
      <c r="N284">
        <v>162</v>
      </c>
      <c r="O284">
        <v>508</v>
      </c>
      <c r="P284" t="s">
        <v>2883</v>
      </c>
    </row>
    <row r="285" spans="1:16" x14ac:dyDescent="0.25">
      <c r="A285" t="s">
        <v>2549</v>
      </c>
      <c r="B285" t="s">
        <v>262</v>
      </c>
      <c r="C285" s="3">
        <v>46212</v>
      </c>
      <c r="D285" t="s">
        <v>1024</v>
      </c>
      <c r="E285">
        <v>69.989999999999995</v>
      </c>
      <c r="F285" t="s">
        <v>1086</v>
      </c>
      <c r="G285">
        <v>22</v>
      </c>
      <c r="H285" t="s">
        <v>2550</v>
      </c>
      <c r="I285" t="s">
        <v>1035</v>
      </c>
      <c r="J285">
        <v>4256</v>
      </c>
      <c r="K285">
        <v>4</v>
      </c>
      <c r="L285" t="s">
        <v>2516</v>
      </c>
      <c r="M285">
        <v>639</v>
      </c>
      <c r="N285">
        <v>1013</v>
      </c>
      <c r="O285">
        <v>1652</v>
      </c>
      <c r="P285" t="s">
        <v>2883</v>
      </c>
    </row>
    <row r="286" spans="1:16" x14ac:dyDescent="0.25">
      <c r="A286" t="s">
        <v>1318</v>
      </c>
      <c r="B286" t="s">
        <v>408</v>
      </c>
      <c r="C286" s="3">
        <v>43802</v>
      </c>
      <c r="D286" t="s">
        <v>1024</v>
      </c>
      <c r="E286">
        <v>39.99</v>
      </c>
      <c r="F286" t="s">
        <v>1189</v>
      </c>
      <c r="G286">
        <v>700</v>
      </c>
      <c r="H286" t="s">
        <v>1319</v>
      </c>
      <c r="I286" t="s">
        <v>1106</v>
      </c>
      <c r="J286">
        <v>4225</v>
      </c>
      <c r="K286">
        <v>8</v>
      </c>
      <c r="L286" t="s">
        <v>1022</v>
      </c>
      <c r="M286">
        <v>164197</v>
      </c>
      <c r="N286">
        <v>14990</v>
      </c>
      <c r="O286">
        <v>179187</v>
      </c>
      <c r="P286" t="s">
        <v>2883</v>
      </c>
    </row>
    <row r="287" spans="1:16" x14ac:dyDescent="0.25">
      <c r="A287" t="s">
        <v>2758</v>
      </c>
      <c r="B287" t="s">
        <v>850</v>
      </c>
      <c r="C287" s="3">
        <v>45473</v>
      </c>
      <c r="D287" t="s">
        <v>1019</v>
      </c>
      <c r="F287" t="s">
        <v>1020</v>
      </c>
      <c r="G287">
        <v>24</v>
      </c>
      <c r="H287" t="s">
        <v>2759</v>
      </c>
      <c r="I287" t="s">
        <v>1745</v>
      </c>
      <c r="J287">
        <v>4221</v>
      </c>
      <c r="K287">
        <v>5</v>
      </c>
      <c r="L287" t="s">
        <v>2514</v>
      </c>
      <c r="M287">
        <v>32370</v>
      </c>
      <c r="N287">
        <v>18181</v>
      </c>
      <c r="O287">
        <v>50551</v>
      </c>
      <c r="P287" t="s">
        <v>2882</v>
      </c>
    </row>
    <row r="288" spans="1:16" x14ac:dyDescent="0.25">
      <c r="A288" t="s">
        <v>2546</v>
      </c>
      <c r="B288" t="s">
        <v>267</v>
      </c>
      <c r="C288" s="3">
        <v>46212</v>
      </c>
      <c r="D288" t="s">
        <v>1024</v>
      </c>
      <c r="E288">
        <v>69.989999999999995</v>
      </c>
      <c r="F288" t="s">
        <v>1042</v>
      </c>
      <c r="G288">
        <v>52</v>
      </c>
      <c r="H288" t="s">
        <v>2547</v>
      </c>
      <c r="I288" t="s">
        <v>1728</v>
      </c>
      <c r="J288">
        <v>4199</v>
      </c>
      <c r="K288">
        <v>5</v>
      </c>
      <c r="L288" t="s">
        <v>2514</v>
      </c>
      <c r="M288">
        <v>1136</v>
      </c>
      <c r="N288">
        <v>990</v>
      </c>
      <c r="O288">
        <v>2126</v>
      </c>
      <c r="P288" t="s">
        <v>2883</v>
      </c>
    </row>
    <row r="289" spans="1:16" x14ac:dyDescent="0.25">
      <c r="A289" t="s">
        <v>2159</v>
      </c>
      <c r="B289" t="s">
        <v>629</v>
      </c>
      <c r="C289" s="3">
        <v>46219</v>
      </c>
      <c r="D289" t="s">
        <v>1024</v>
      </c>
      <c r="E289">
        <v>9.99</v>
      </c>
      <c r="F289" t="s">
        <v>1110</v>
      </c>
      <c r="G289">
        <v>41</v>
      </c>
      <c r="H289" t="s">
        <v>2160</v>
      </c>
      <c r="I289" t="s">
        <v>2161</v>
      </c>
      <c r="J289">
        <v>4194</v>
      </c>
      <c r="K289">
        <v>9</v>
      </c>
      <c r="L289" t="s">
        <v>2077</v>
      </c>
      <c r="M289">
        <v>655</v>
      </c>
      <c r="N289">
        <v>11</v>
      </c>
      <c r="O289">
        <v>666</v>
      </c>
      <c r="P289" t="s">
        <v>2883</v>
      </c>
    </row>
    <row r="290" spans="1:16" x14ac:dyDescent="0.25">
      <c r="A290" t="s">
        <v>1824</v>
      </c>
      <c r="B290" t="s">
        <v>12</v>
      </c>
      <c r="C290" s="3">
        <v>44119</v>
      </c>
      <c r="D290" t="s">
        <v>1019</v>
      </c>
      <c r="F290" t="s">
        <v>1020</v>
      </c>
      <c r="G290">
        <v>88</v>
      </c>
      <c r="H290" t="s">
        <v>1825</v>
      </c>
      <c r="I290" t="s">
        <v>1106</v>
      </c>
      <c r="J290">
        <v>4192</v>
      </c>
      <c r="K290">
        <v>8</v>
      </c>
      <c r="L290" t="s">
        <v>1022</v>
      </c>
      <c r="M290">
        <v>15880</v>
      </c>
      <c r="N290">
        <v>2875</v>
      </c>
      <c r="O290">
        <v>18755</v>
      </c>
      <c r="P290" t="s">
        <v>2882</v>
      </c>
    </row>
    <row r="291" spans="1:16" x14ac:dyDescent="0.25">
      <c r="A291" t="s">
        <v>2165</v>
      </c>
      <c r="B291" t="s">
        <v>811</v>
      </c>
      <c r="C291" s="3">
        <v>43123</v>
      </c>
      <c r="D291" t="s">
        <v>1024</v>
      </c>
      <c r="E291">
        <v>29.99</v>
      </c>
      <c r="F291" t="s">
        <v>1208</v>
      </c>
      <c r="G291">
        <v>17</v>
      </c>
      <c r="H291" t="s">
        <v>1075</v>
      </c>
      <c r="I291" t="s">
        <v>1075</v>
      </c>
      <c r="J291">
        <v>4162</v>
      </c>
      <c r="K291">
        <v>9</v>
      </c>
      <c r="L291" t="s">
        <v>2077</v>
      </c>
      <c r="M291">
        <v>201663</v>
      </c>
      <c r="N291">
        <v>6401</v>
      </c>
      <c r="O291">
        <v>208064</v>
      </c>
      <c r="P291" t="s">
        <v>2883</v>
      </c>
    </row>
    <row r="292" spans="1:16" x14ac:dyDescent="0.25">
      <c r="A292" t="s">
        <v>1307</v>
      </c>
      <c r="B292" t="s">
        <v>389</v>
      </c>
      <c r="C292" s="3">
        <v>43713</v>
      </c>
      <c r="D292" t="s">
        <v>1024</v>
      </c>
      <c r="E292">
        <v>27.99</v>
      </c>
      <c r="F292" t="s">
        <v>1110</v>
      </c>
      <c r="G292">
        <v>68</v>
      </c>
      <c r="H292" t="s">
        <v>1129</v>
      </c>
      <c r="I292" t="s">
        <v>1129</v>
      </c>
      <c r="J292">
        <v>4142</v>
      </c>
      <c r="K292">
        <v>8</v>
      </c>
      <c r="L292" t="s">
        <v>1022</v>
      </c>
      <c r="M292">
        <v>29360</v>
      </c>
      <c r="N292">
        <v>5252</v>
      </c>
      <c r="O292">
        <v>34612</v>
      </c>
      <c r="P292" t="s">
        <v>2883</v>
      </c>
    </row>
    <row r="293" spans="1:16" x14ac:dyDescent="0.25">
      <c r="A293" t="s">
        <v>2163</v>
      </c>
      <c r="B293" t="s">
        <v>213</v>
      </c>
      <c r="C293" s="3">
        <v>44000</v>
      </c>
      <c r="D293" t="s">
        <v>1024</v>
      </c>
      <c r="E293">
        <v>39.99</v>
      </c>
      <c r="F293" t="s">
        <v>1113</v>
      </c>
      <c r="G293">
        <v>48</v>
      </c>
      <c r="H293" t="s">
        <v>2164</v>
      </c>
      <c r="I293" t="s">
        <v>2164</v>
      </c>
      <c r="J293">
        <v>4111</v>
      </c>
      <c r="K293">
        <v>9</v>
      </c>
      <c r="L293" t="s">
        <v>2077</v>
      </c>
      <c r="M293">
        <v>62681</v>
      </c>
      <c r="N293">
        <v>3167</v>
      </c>
      <c r="O293">
        <v>65848</v>
      </c>
      <c r="P293" t="s">
        <v>2883</v>
      </c>
    </row>
    <row r="294" spans="1:16" x14ac:dyDescent="0.25">
      <c r="A294" t="s">
        <v>1314</v>
      </c>
      <c r="B294" t="s">
        <v>233</v>
      </c>
      <c r="C294" s="3">
        <v>45791</v>
      </c>
      <c r="D294" t="s">
        <v>1024</v>
      </c>
      <c r="E294">
        <v>69.989999999999995</v>
      </c>
      <c r="F294" t="s">
        <v>1189</v>
      </c>
      <c r="G294">
        <v>38</v>
      </c>
      <c r="H294" t="s">
        <v>1315</v>
      </c>
      <c r="I294" t="s">
        <v>1051</v>
      </c>
      <c r="J294">
        <v>4069</v>
      </c>
      <c r="K294">
        <v>8</v>
      </c>
      <c r="L294" t="s">
        <v>1022</v>
      </c>
      <c r="M294">
        <v>22404</v>
      </c>
      <c r="N294">
        <v>3563</v>
      </c>
      <c r="O294">
        <v>25967</v>
      </c>
      <c r="P294" t="s">
        <v>2883</v>
      </c>
    </row>
    <row r="295" spans="1:16" x14ac:dyDescent="0.25">
      <c r="A295" t="s">
        <v>1320</v>
      </c>
      <c r="B295" t="s">
        <v>508</v>
      </c>
      <c r="C295" s="3">
        <v>46086</v>
      </c>
      <c r="D295" t="s">
        <v>1024</v>
      </c>
      <c r="E295">
        <v>39.99</v>
      </c>
      <c r="F295" t="s">
        <v>1189</v>
      </c>
      <c r="G295">
        <v>14</v>
      </c>
      <c r="H295" t="s">
        <v>1321</v>
      </c>
      <c r="I295" t="s">
        <v>1321</v>
      </c>
      <c r="J295">
        <v>4069</v>
      </c>
      <c r="K295">
        <v>8</v>
      </c>
      <c r="L295" t="s">
        <v>1022</v>
      </c>
      <c r="M295">
        <v>38521</v>
      </c>
      <c r="N295">
        <v>9349</v>
      </c>
      <c r="O295">
        <v>47870</v>
      </c>
      <c r="P295" t="s">
        <v>2883</v>
      </c>
    </row>
    <row r="296" spans="1:16" x14ac:dyDescent="0.25">
      <c r="A296" t="s">
        <v>1693</v>
      </c>
      <c r="B296" t="s">
        <v>515</v>
      </c>
      <c r="C296" s="3">
        <v>44330</v>
      </c>
      <c r="D296" t="s">
        <v>1024</v>
      </c>
      <c r="E296">
        <v>59.99</v>
      </c>
      <c r="F296" t="s">
        <v>1042</v>
      </c>
      <c r="G296">
        <v>127</v>
      </c>
      <c r="H296" t="s">
        <v>1694</v>
      </c>
      <c r="I296" t="s">
        <v>1035</v>
      </c>
      <c r="J296">
        <v>4015</v>
      </c>
      <c r="K296">
        <v>8</v>
      </c>
      <c r="L296" t="s">
        <v>1022</v>
      </c>
      <c r="M296">
        <v>40183</v>
      </c>
      <c r="N296">
        <v>3805</v>
      </c>
      <c r="O296">
        <v>43988</v>
      </c>
      <c r="P296" t="s">
        <v>2883</v>
      </c>
    </row>
    <row r="297" spans="1:16" x14ac:dyDescent="0.25">
      <c r="A297" t="s">
        <v>1322</v>
      </c>
      <c r="B297" t="s">
        <v>239</v>
      </c>
      <c r="C297" s="3">
        <v>42670</v>
      </c>
      <c r="D297" t="s">
        <v>1024</v>
      </c>
      <c r="E297">
        <v>19.989999999999998</v>
      </c>
      <c r="F297" t="s">
        <v>1268</v>
      </c>
      <c r="G297">
        <v>61</v>
      </c>
      <c r="H297" t="s">
        <v>1323</v>
      </c>
      <c r="I297" t="s">
        <v>1324</v>
      </c>
      <c r="J297">
        <v>4012</v>
      </c>
      <c r="K297">
        <v>8</v>
      </c>
      <c r="L297" t="s">
        <v>1022</v>
      </c>
      <c r="M297">
        <v>22163</v>
      </c>
      <c r="N297">
        <v>2793</v>
      </c>
      <c r="O297">
        <v>24956</v>
      </c>
      <c r="P297" t="s">
        <v>2883</v>
      </c>
    </row>
    <row r="298" spans="1:16" x14ac:dyDescent="0.25">
      <c r="A298" t="s">
        <v>1083</v>
      </c>
      <c r="B298" t="s">
        <v>753</v>
      </c>
      <c r="C298" s="3">
        <v>45392</v>
      </c>
      <c r="D298" t="s">
        <v>1019</v>
      </c>
      <c r="F298" t="s">
        <v>1026</v>
      </c>
      <c r="H298" t="s">
        <v>1084</v>
      </c>
      <c r="I298" t="s">
        <v>1084</v>
      </c>
      <c r="J298">
        <v>3991</v>
      </c>
      <c r="K298">
        <v>8</v>
      </c>
      <c r="L298" t="s">
        <v>1022</v>
      </c>
      <c r="M298">
        <v>10032</v>
      </c>
      <c r="N298">
        <v>1574</v>
      </c>
      <c r="O298">
        <v>11606</v>
      </c>
      <c r="P298" t="s">
        <v>2882</v>
      </c>
    </row>
    <row r="299" spans="1:16" x14ac:dyDescent="0.25">
      <c r="A299" t="s">
        <v>1931</v>
      </c>
      <c r="B299" t="s">
        <v>777</v>
      </c>
      <c r="C299" s="3">
        <v>43524</v>
      </c>
      <c r="D299" t="s">
        <v>1024</v>
      </c>
      <c r="E299">
        <v>19.989999999999998</v>
      </c>
      <c r="F299" t="s">
        <v>1047</v>
      </c>
      <c r="G299">
        <v>30</v>
      </c>
      <c r="H299" t="s">
        <v>1932</v>
      </c>
      <c r="I299" t="s">
        <v>1932</v>
      </c>
      <c r="J299">
        <v>3990</v>
      </c>
      <c r="K299">
        <v>8</v>
      </c>
      <c r="L299" t="s">
        <v>1022</v>
      </c>
      <c r="M299">
        <v>77694</v>
      </c>
      <c r="N299">
        <v>9616</v>
      </c>
      <c r="O299">
        <v>87310</v>
      </c>
      <c r="P299" t="s">
        <v>2883</v>
      </c>
    </row>
    <row r="300" spans="1:16" x14ac:dyDescent="0.25">
      <c r="A300" t="s">
        <v>2166</v>
      </c>
      <c r="B300" t="s">
        <v>696</v>
      </c>
      <c r="C300" s="3">
        <v>46079</v>
      </c>
      <c r="D300" t="s">
        <v>1024</v>
      </c>
      <c r="E300">
        <v>69.989999999999995</v>
      </c>
      <c r="F300" t="s">
        <v>1113</v>
      </c>
      <c r="G300">
        <v>49</v>
      </c>
      <c r="H300" t="s">
        <v>1233</v>
      </c>
      <c r="I300" t="s">
        <v>1233</v>
      </c>
      <c r="J300">
        <v>3956</v>
      </c>
      <c r="K300">
        <v>9</v>
      </c>
      <c r="L300" t="s">
        <v>2077</v>
      </c>
      <c r="M300">
        <v>75925</v>
      </c>
      <c r="N300">
        <v>2693</v>
      </c>
      <c r="O300">
        <v>78618</v>
      </c>
      <c r="P300" t="s">
        <v>2883</v>
      </c>
    </row>
    <row r="301" spans="1:16" x14ac:dyDescent="0.25">
      <c r="A301" t="s">
        <v>2554</v>
      </c>
      <c r="B301" t="s">
        <v>863</v>
      </c>
      <c r="C301" s="3">
        <v>46218</v>
      </c>
      <c r="D301" t="s">
        <v>1024</v>
      </c>
      <c r="E301">
        <v>29.99</v>
      </c>
      <c r="F301" t="s">
        <v>1113</v>
      </c>
      <c r="G301">
        <v>25</v>
      </c>
      <c r="H301" t="s">
        <v>2555</v>
      </c>
      <c r="I301" t="s">
        <v>1428</v>
      </c>
      <c r="J301">
        <v>3928</v>
      </c>
      <c r="K301">
        <v>5</v>
      </c>
      <c r="L301" t="s">
        <v>2514</v>
      </c>
      <c r="M301">
        <v>878</v>
      </c>
      <c r="N301">
        <v>400</v>
      </c>
      <c r="O301">
        <v>1278</v>
      </c>
      <c r="P301" t="s">
        <v>2883</v>
      </c>
    </row>
    <row r="302" spans="1:16" x14ac:dyDescent="0.25">
      <c r="A302" t="s">
        <v>2548</v>
      </c>
      <c r="B302" t="s">
        <v>155</v>
      </c>
      <c r="C302" s="3">
        <v>44980</v>
      </c>
      <c r="D302" t="s">
        <v>1024</v>
      </c>
      <c r="E302">
        <v>59.99</v>
      </c>
      <c r="F302" t="s">
        <v>1047</v>
      </c>
      <c r="G302">
        <v>24</v>
      </c>
      <c r="H302" t="s">
        <v>1956</v>
      </c>
      <c r="I302" t="s">
        <v>1956</v>
      </c>
      <c r="J302">
        <v>3922</v>
      </c>
      <c r="K302">
        <v>5</v>
      </c>
      <c r="L302" t="s">
        <v>2514</v>
      </c>
      <c r="M302">
        <v>11862</v>
      </c>
      <c r="N302">
        <v>8000</v>
      </c>
      <c r="O302">
        <v>19862</v>
      </c>
      <c r="P302" t="s">
        <v>2883</v>
      </c>
    </row>
    <row r="303" spans="1:16" x14ac:dyDescent="0.25">
      <c r="A303" t="s">
        <v>2553</v>
      </c>
      <c r="B303" t="s">
        <v>343</v>
      </c>
      <c r="C303" s="3">
        <v>42779</v>
      </c>
      <c r="D303" t="s">
        <v>1024</v>
      </c>
      <c r="E303">
        <v>29.99</v>
      </c>
      <c r="F303" t="s">
        <v>1189</v>
      </c>
      <c r="G303">
        <v>60</v>
      </c>
      <c r="H303" t="s">
        <v>1345</v>
      </c>
      <c r="I303" t="s">
        <v>1212</v>
      </c>
      <c r="J303">
        <v>3919</v>
      </c>
      <c r="K303">
        <v>5</v>
      </c>
      <c r="L303" t="s">
        <v>2514</v>
      </c>
      <c r="M303">
        <v>57151</v>
      </c>
      <c r="N303">
        <v>26005</v>
      </c>
      <c r="O303">
        <v>83156</v>
      </c>
      <c r="P303" t="s">
        <v>2883</v>
      </c>
    </row>
    <row r="304" spans="1:16" x14ac:dyDescent="0.25">
      <c r="A304" t="s">
        <v>1929</v>
      </c>
      <c r="B304" t="s">
        <v>971</v>
      </c>
      <c r="C304" s="3">
        <v>45463</v>
      </c>
      <c r="D304" t="s">
        <v>1024</v>
      </c>
      <c r="E304">
        <v>39.99</v>
      </c>
      <c r="F304" t="s">
        <v>1047</v>
      </c>
      <c r="G304">
        <v>17</v>
      </c>
      <c r="H304" t="s">
        <v>1930</v>
      </c>
      <c r="I304" t="s">
        <v>1254</v>
      </c>
      <c r="J304">
        <v>3915</v>
      </c>
      <c r="K304">
        <v>8</v>
      </c>
      <c r="L304" t="s">
        <v>1022</v>
      </c>
      <c r="M304">
        <v>8258</v>
      </c>
      <c r="N304">
        <v>947</v>
      </c>
      <c r="O304">
        <v>9205</v>
      </c>
      <c r="P304" t="s">
        <v>2883</v>
      </c>
    </row>
    <row r="305" spans="1:16" x14ac:dyDescent="0.25">
      <c r="A305" t="s">
        <v>2168</v>
      </c>
      <c r="B305" t="s">
        <v>924</v>
      </c>
      <c r="C305" s="3">
        <v>44077</v>
      </c>
      <c r="D305" t="s">
        <v>1024</v>
      </c>
      <c r="E305">
        <v>29.99</v>
      </c>
      <c r="F305" t="s">
        <v>1026</v>
      </c>
      <c r="G305">
        <v>0</v>
      </c>
      <c r="H305" t="s">
        <v>2169</v>
      </c>
      <c r="I305" t="s">
        <v>2170</v>
      </c>
      <c r="J305">
        <v>3910</v>
      </c>
      <c r="K305">
        <v>9</v>
      </c>
      <c r="L305" t="s">
        <v>2077</v>
      </c>
      <c r="M305">
        <v>163709</v>
      </c>
      <c r="N305">
        <v>3992</v>
      </c>
      <c r="O305">
        <v>167701</v>
      </c>
      <c r="P305" t="s">
        <v>2883</v>
      </c>
    </row>
    <row r="306" spans="1:16" x14ac:dyDescent="0.25">
      <c r="A306" t="s">
        <v>2551</v>
      </c>
      <c r="B306" t="s">
        <v>108</v>
      </c>
      <c r="C306" s="3">
        <v>45827</v>
      </c>
      <c r="D306" t="s">
        <v>1024</v>
      </c>
      <c r="E306">
        <v>49.99</v>
      </c>
      <c r="F306" t="s">
        <v>1047</v>
      </c>
      <c r="G306">
        <v>67</v>
      </c>
      <c r="H306" t="s">
        <v>2552</v>
      </c>
      <c r="I306" t="s">
        <v>2447</v>
      </c>
      <c r="J306">
        <v>3900</v>
      </c>
      <c r="K306">
        <v>5</v>
      </c>
      <c r="L306" t="s">
        <v>2514</v>
      </c>
      <c r="M306">
        <v>7185</v>
      </c>
      <c r="N306">
        <v>5151</v>
      </c>
      <c r="O306">
        <v>12336</v>
      </c>
      <c r="P306" t="s">
        <v>2883</v>
      </c>
    </row>
    <row r="307" spans="1:16" x14ac:dyDescent="0.25">
      <c r="A307" t="s">
        <v>2384</v>
      </c>
      <c r="B307" t="s">
        <v>79</v>
      </c>
      <c r="C307" s="3">
        <v>45405</v>
      </c>
      <c r="D307" t="s">
        <v>1024</v>
      </c>
      <c r="E307">
        <v>29.99</v>
      </c>
      <c r="F307" t="s">
        <v>1026</v>
      </c>
      <c r="G307">
        <v>41</v>
      </c>
      <c r="H307" t="s">
        <v>2385</v>
      </c>
      <c r="I307" t="s">
        <v>2385</v>
      </c>
      <c r="J307">
        <v>3872</v>
      </c>
      <c r="K307">
        <v>6</v>
      </c>
      <c r="L307" t="s">
        <v>2338</v>
      </c>
      <c r="M307">
        <v>8548</v>
      </c>
      <c r="N307">
        <v>2213</v>
      </c>
      <c r="O307">
        <v>10761</v>
      </c>
      <c r="P307" t="s">
        <v>2883</v>
      </c>
    </row>
    <row r="308" spans="1:16" x14ac:dyDescent="0.25">
      <c r="A308" t="s">
        <v>1310</v>
      </c>
      <c r="B308" t="s">
        <v>463</v>
      </c>
      <c r="C308" s="3">
        <v>42692</v>
      </c>
      <c r="D308" t="s">
        <v>1024</v>
      </c>
      <c r="E308">
        <v>29.99</v>
      </c>
      <c r="F308" t="s">
        <v>1189</v>
      </c>
      <c r="G308">
        <v>307</v>
      </c>
      <c r="H308" t="s">
        <v>1311</v>
      </c>
      <c r="I308" t="s">
        <v>1311</v>
      </c>
      <c r="J308">
        <v>3862</v>
      </c>
      <c r="K308">
        <v>8</v>
      </c>
      <c r="L308" t="s">
        <v>1022</v>
      </c>
      <c r="M308">
        <v>55191</v>
      </c>
      <c r="N308">
        <v>7919</v>
      </c>
      <c r="O308">
        <v>63110</v>
      </c>
      <c r="P308" t="s">
        <v>2883</v>
      </c>
    </row>
    <row r="309" spans="1:16" x14ac:dyDescent="0.25">
      <c r="A309" t="s">
        <v>2763</v>
      </c>
      <c r="B309" t="s">
        <v>741</v>
      </c>
      <c r="C309" s="3">
        <v>43956</v>
      </c>
      <c r="D309" t="s">
        <v>1019</v>
      </c>
      <c r="F309" t="s">
        <v>1020</v>
      </c>
      <c r="G309">
        <v>94</v>
      </c>
      <c r="H309" t="s">
        <v>2764</v>
      </c>
      <c r="I309" t="s">
        <v>2764</v>
      </c>
      <c r="J309">
        <v>3852</v>
      </c>
      <c r="K309">
        <v>6</v>
      </c>
      <c r="L309" t="s">
        <v>2338</v>
      </c>
      <c r="M309">
        <v>4821</v>
      </c>
      <c r="N309">
        <v>1456</v>
      </c>
      <c r="O309">
        <v>6277</v>
      </c>
      <c r="P309" t="s">
        <v>2882</v>
      </c>
    </row>
    <row r="310" spans="1:16" x14ac:dyDescent="0.25">
      <c r="A310" t="s">
        <v>1933</v>
      </c>
      <c r="B310" t="s">
        <v>917</v>
      </c>
      <c r="C310" s="3">
        <v>43810</v>
      </c>
      <c r="D310" t="s">
        <v>1024</v>
      </c>
      <c r="E310">
        <v>39.99</v>
      </c>
      <c r="F310" t="s">
        <v>1047</v>
      </c>
      <c r="G310">
        <v>61</v>
      </c>
      <c r="H310" t="s">
        <v>1934</v>
      </c>
      <c r="I310" t="s">
        <v>1935</v>
      </c>
      <c r="J310">
        <v>3840</v>
      </c>
      <c r="K310">
        <v>8</v>
      </c>
      <c r="L310" t="s">
        <v>1022</v>
      </c>
      <c r="M310">
        <v>10815</v>
      </c>
      <c r="N310">
        <v>1296</v>
      </c>
      <c r="O310">
        <v>12111</v>
      </c>
      <c r="P310" t="s">
        <v>2883</v>
      </c>
    </row>
    <row r="311" spans="1:16" x14ac:dyDescent="0.25">
      <c r="A311" t="s">
        <v>2171</v>
      </c>
      <c r="B311" t="s">
        <v>369</v>
      </c>
      <c r="C311" s="3">
        <v>44575</v>
      </c>
      <c r="D311" t="s">
        <v>1024</v>
      </c>
      <c r="E311">
        <v>49.99</v>
      </c>
      <c r="F311" t="s">
        <v>1042</v>
      </c>
      <c r="G311">
        <v>37</v>
      </c>
      <c r="H311" t="s">
        <v>1692</v>
      </c>
      <c r="I311" t="s">
        <v>1223</v>
      </c>
      <c r="J311">
        <v>3830</v>
      </c>
      <c r="K311">
        <v>9</v>
      </c>
      <c r="L311" t="s">
        <v>2077</v>
      </c>
      <c r="M311">
        <v>77980</v>
      </c>
      <c r="N311">
        <v>2808</v>
      </c>
      <c r="O311">
        <v>80788</v>
      </c>
      <c r="P311" t="s">
        <v>2883</v>
      </c>
    </row>
    <row r="312" spans="1:16" x14ac:dyDescent="0.25">
      <c r="A312" t="s">
        <v>2172</v>
      </c>
      <c r="B312" t="s">
        <v>511</v>
      </c>
      <c r="C312" s="3">
        <v>44785</v>
      </c>
      <c r="D312" t="s">
        <v>1024</v>
      </c>
      <c r="E312">
        <v>59.99</v>
      </c>
      <c r="F312" t="s">
        <v>1029</v>
      </c>
      <c r="G312">
        <v>78</v>
      </c>
      <c r="H312" t="s">
        <v>1339</v>
      </c>
      <c r="I312" t="s">
        <v>1223</v>
      </c>
      <c r="J312">
        <v>3770</v>
      </c>
      <c r="K312">
        <v>9</v>
      </c>
      <c r="L312" t="s">
        <v>2077</v>
      </c>
      <c r="M312">
        <v>69078</v>
      </c>
      <c r="N312">
        <v>2585</v>
      </c>
      <c r="O312">
        <v>71663</v>
      </c>
      <c r="P312" t="s">
        <v>2883</v>
      </c>
    </row>
    <row r="313" spans="1:16" x14ac:dyDescent="0.25">
      <c r="A313" t="s">
        <v>2382</v>
      </c>
      <c r="B313" t="s">
        <v>199</v>
      </c>
      <c r="C313" s="3">
        <v>45404</v>
      </c>
      <c r="D313" t="s">
        <v>1024</v>
      </c>
      <c r="E313">
        <v>49.99</v>
      </c>
      <c r="F313" t="s">
        <v>1113</v>
      </c>
      <c r="G313">
        <v>59</v>
      </c>
      <c r="H313" t="s">
        <v>2383</v>
      </c>
      <c r="I313" t="s">
        <v>1435</v>
      </c>
      <c r="J313">
        <v>3767</v>
      </c>
      <c r="K313">
        <v>6</v>
      </c>
      <c r="L313" t="s">
        <v>2338</v>
      </c>
      <c r="M313">
        <v>9726</v>
      </c>
      <c r="N313">
        <v>2998</v>
      </c>
      <c r="O313">
        <v>12724</v>
      </c>
      <c r="P313" t="s">
        <v>2883</v>
      </c>
    </row>
    <row r="314" spans="1:16" x14ac:dyDescent="0.25">
      <c r="A314" t="s">
        <v>1936</v>
      </c>
      <c r="B314" t="s">
        <v>983</v>
      </c>
      <c r="C314" s="3">
        <v>42404</v>
      </c>
      <c r="D314" t="s">
        <v>1024</v>
      </c>
      <c r="E314">
        <v>19.989999999999998</v>
      </c>
      <c r="F314" t="s">
        <v>1047</v>
      </c>
      <c r="G314">
        <v>88</v>
      </c>
      <c r="H314" t="s">
        <v>1122</v>
      </c>
      <c r="I314" t="s">
        <v>1123</v>
      </c>
      <c r="J314">
        <v>3748</v>
      </c>
      <c r="K314">
        <v>8</v>
      </c>
      <c r="L314" t="s">
        <v>1022</v>
      </c>
      <c r="M314">
        <v>52332</v>
      </c>
      <c r="N314">
        <v>9006</v>
      </c>
      <c r="O314">
        <v>61338</v>
      </c>
      <c r="P314" t="s">
        <v>2883</v>
      </c>
    </row>
    <row r="315" spans="1:16" x14ac:dyDescent="0.25">
      <c r="A315" t="s">
        <v>2760</v>
      </c>
      <c r="B315" t="s">
        <v>735</v>
      </c>
      <c r="C315" s="3">
        <v>45822</v>
      </c>
      <c r="D315" t="s">
        <v>1019</v>
      </c>
      <c r="F315" t="s">
        <v>1020</v>
      </c>
      <c r="G315">
        <v>27</v>
      </c>
      <c r="H315" t="s">
        <v>1671</v>
      </c>
      <c r="I315" t="s">
        <v>1671</v>
      </c>
      <c r="J315">
        <v>3739</v>
      </c>
      <c r="K315">
        <v>4</v>
      </c>
      <c r="L315" t="s">
        <v>2516</v>
      </c>
      <c r="M315">
        <v>2448</v>
      </c>
      <c r="N315">
        <v>4045</v>
      </c>
      <c r="O315">
        <v>6493</v>
      </c>
      <c r="P315" t="s">
        <v>2882</v>
      </c>
    </row>
    <row r="316" spans="1:16" x14ac:dyDescent="0.25">
      <c r="A316" t="s">
        <v>2386</v>
      </c>
      <c r="B316" t="s">
        <v>351</v>
      </c>
      <c r="C316" s="3">
        <v>44832</v>
      </c>
      <c r="D316" t="s">
        <v>1024</v>
      </c>
      <c r="E316">
        <v>29.99</v>
      </c>
      <c r="F316" t="s">
        <v>1047</v>
      </c>
      <c r="H316" t="s">
        <v>2387</v>
      </c>
      <c r="I316" t="s">
        <v>2387</v>
      </c>
      <c r="J316">
        <v>3718</v>
      </c>
      <c r="K316">
        <v>6</v>
      </c>
      <c r="L316" t="s">
        <v>2338</v>
      </c>
      <c r="M316">
        <v>25476</v>
      </c>
      <c r="N316">
        <v>7008</v>
      </c>
      <c r="O316">
        <v>32484</v>
      </c>
      <c r="P316" t="s">
        <v>2883</v>
      </c>
    </row>
    <row r="317" spans="1:16" x14ac:dyDescent="0.25">
      <c r="A317" t="s">
        <v>2388</v>
      </c>
      <c r="B317" t="s">
        <v>324</v>
      </c>
      <c r="C317" s="3">
        <v>45680</v>
      </c>
      <c r="D317" t="s">
        <v>1024</v>
      </c>
      <c r="E317">
        <v>49.99</v>
      </c>
      <c r="F317" t="s">
        <v>1042</v>
      </c>
      <c r="G317">
        <v>61</v>
      </c>
      <c r="H317" t="s">
        <v>1043</v>
      </c>
      <c r="I317" t="s">
        <v>1043</v>
      </c>
      <c r="J317">
        <v>3714</v>
      </c>
      <c r="K317">
        <v>6</v>
      </c>
      <c r="L317" t="s">
        <v>2338</v>
      </c>
      <c r="M317">
        <v>12332</v>
      </c>
      <c r="N317">
        <v>3242</v>
      </c>
      <c r="O317">
        <v>15574</v>
      </c>
      <c r="P317" t="s">
        <v>2883</v>
      </c>
    </row>
    <row r="318" spans="1:16" x14ac:dyDescent="0.25">
      <c r="A318" t="s">
        <v>1325</v>
      </c>
      <c r="B318" t="s">
        <v>431</v>
      </c>
      <c r="C318" s="3">
        <v>45274</v>
      </c>
      <c r="D318" t="s">
        <v>1024</v>
      </c>
      <c r="E318">
        <v>39.99</v>
      </c>
      <c r="F318" t="s">
        <v>1110</v>
      </c>
      <c r="G318">
        <v>60</v>
      </c>
      <c r="H318" t="s">
        <v>1326</v>
      </c>
      <c r="I318" t="s">
        <v>1326</v>
      </c>
      <c r="J318">
        <v>3705</v>
      </c>
      <c r="K318">
        <v>8</v>
      </c>
      <c r="L318" t="s">
        <v>1022</v>
      </c>
      <c r="M318">
        <v>9464</v>
      </c>
      <c r="N318">
        <v>1494</v>
      </c>
      <c r="O318">
        <v>10958</v>
      </c>
      <c r="P318" t="s">
        <v>2883</v>
      </c>
    </row>
    <row r="319" spans="1:16" x14ac:dyDescent="0.25">
      <c r="A319" t="s">
        <v>1327</v>
      </c>
      <c r="B319" t="s">
        <v>520</v>
      </c>
      <c r="C319" s="3">
        <v>44462</v>
      </c>
      <c r="D319" t="s">
        <v>1024</v>
      </c>
      <c r="E319">
        <v>34.99</v>
      </c>
      <c r="F319" t="s">
        <v>1110</v>
      </c>
      <c r="G319">
        <v>44</v>
      </c>
      <c r="H319" t="s">
        <v>1328</v>
      </c>
      <c r="I319" t="s">
        <v>1329</v>
      </c>
      <c r="J319">
        <v>3697</v>
      </c>
      <c r="K319">
        <v>8</v>
      </c>
      <c r="L319" t="s">
        <v>1022</v>
      </c>
      <c r="M319">
        <v>19805</v>
      </c>
      <c r="N319">
        <v>2466</v>
      </c>
      <c r="O319">
        <v>22271</v>
      </c>
      <c r="P319" t="s">
        <v>2883</v>
      </c>
    </row>
    <row r="320" spans="1:16" x14ac:dyDescent="0.25">
      <c r="A320" t="s">
        <v>2175</v>
      </c>
      <c r="B320" t="s">
        <v>168</v>
      </c>
      <c r="C320" s="3">
        <v>38292</v>
      </c>
      <c r="D320" t="s">
        <v>1024</v>
      </c>
      <c r="E320">
        <v>9.99</v>
      </c>
      <c r="F320" t="s">
        <v>1189</v>
      </c>
      <c r="G320">
        <v>147</v>
      </c>
      <c r="H320" t="s">
        <v>1021</v>
      </c>
      <c r="I320" t="s">
        <v>1021</v>
      </c>
      <c r="J320">
        <v>3689</v>
      </c>
      <c r="K320">
        <v>9</v>
      </c>
      <c r="L320" t="s">
        <v>2077</v>
      </c>
      <c r="M320">
        <v>63414</v>
      </c>
      <c r="N320">
        <v>2610</v>
      </c>
      <c r="O320">
        <v>66024</v>
      </c>
      <c r="P320" t="s">
        <v>2883</v>
      </c>
    </row>
    <row r="321" spans="1:16" x14ac:dyDescent="0.25">
      <c r="A321" t="s">
        <v>2176</v>
      </c>
      <c r="B321" t="s">
        <v>180</v>
      </c>
      <c r="C321" s="3">
        <v>43007</v>
      </c>
      <c r="D321" t="s">
        <v>1024</v>
      </c>
      <c r="E321">
        <v>19.989999999999998</v>
      </c>
      <c r="F321" t="s">
        <v>1208</v>
      </c>
      <c r="G321">
        <v>42</v>
      </c>
      <c r="H321" t="s">
        <v>2177</v>
      </c>
      <c r="I321" t="s">
        <v>2177</v>
      </c>
      <c r="J321">
        <v>3677</v>
      </c>
      <c r="K321">
        <v>9</v>
      </c>
      <c r="L321" t="s">
        <v>2077</v>
      </c>
      <c r="M321">
        <v>70346</v>
      </c>
      <c r="N321">
        <v>2884</v>
      </c>
      <c r="O321">
        <v>73230</v>
      </c>
      <c r="P321" t="s">
        <v>2883</v>
      </c>
    </row>
    <row r="322" spans="1:16" x14ac:dyDescent="0.25">
      <c r="A322" t="s">
        <v>1937</v>
      </c>
      <c r="B322" t="s">
        <v>809</v>
      </c>
      <c r="C322" s="3">
        <v>45853</v>
      </c>
      <c r="D322" t="s">
        <v>1024</v>
      </c>
      <c r="E322">
        <v>19.989999999999998</v>
      </c>
      <c r="F322" t="s">
        <v>1047</v>
      </c>
      <c r="G322">
        <v>41</v>
      </c>
      <c r="H322" t="s">
        <v>1938</v>
      </c>
      <c r="I322" t="s">
        <v>1938</v>
      </c>
      <c r="J322">
        <v>3670</v>
      </c>
      <c r="K322">
        <v>8</v>
      </c>
      <c r="L322" t="s">
        <v>1022</v>
      </c>
      <c r="M322">
        <v>3541</v>
      </c>
      <c r="N322">
        <v>355</v>
      </c>
      <c r="O322">
        <v>3896</v>
      </c>
      <c r="P322" t="s">
        <v>2883</v>
      </c>
    </row>
    <row r="323" spans="1:16" x14ac:dyDescent="0.25">
      <c r="A323" t="s">
        <v>2167</v>
      </c>
      <c r="B323" t="s">
        <v>784</v>
      </c>
      <c r="C323" s="3">
        <v>45722</v>
      </c>
      <c r="D323" t="s">
        <v>1024</v>
      </c>
      <c r="E323">
        <v>49.99</v>
      </c>
      <c r="F323" t="s">
        <v>1113</v>
      </c>
      <c r="G323">
        <v>20</v>
      </c>
      <c r="H323" t="s">
        <v>2138</v>
      </c>
      <c r="I323" t="s">
        <v>1035</v>
      </c>
      <c r="J323">
        <v>3665</v>
      </c>
      <c r="K323">
        <v>9</v>
      </c>
      <c r="L323" t="s">
        <v>2077</v>
      </c>
      <c r="M323">
        <v>37383</v>
      </c>
      <c r="N323">
        <v>1580</v>
      </c>
      <c r="O323">
        <v>38963</v>
      </c>
      <c r="P323" t="s">
        <v>2883</v>
      </c>
    </row>
    <row r="324" spans="1:16" x14ac:dyDescent="0.25">
      <c r="A324" t="s">
        <v>2173</v>
      </c>
      <c r="B324" t="s">
        <v>834</v>
      </c>
      <c r="C324" s="3">
        <v>44672</v>
      </c>
      <c r="D324" t="s">
        <v>1024</v>
      </c>
      <c r="E324">
        <v>29.99</v>
      </c>
      <c r="F324" t="s">
        <v>1047</v>
      </c>
      <c r="G324">
        <v>27</v>
      </c>
      <c r="H324" t="s">
        <v>2174</v>
      </c>
      <c r="I324" t="s">
        <v>2174</v>
      </c>
      <c r="J324">
        <v>3662</v>
      </c>
      <c r="K324">
        <v>9</v>
      </c>
      <c r="L324" t="s">
        <v>2077</v>
      </c>
      <c r="M324">
        <v>76594</v>
      </c>
      <c r="N324">
        <v>3627</v>
      </c>
      <c r="O324">
        <v>80221</v>
      </c>
      <c r="P324" t="s">
        <v>2883</v>
      </c>
    </row>
    <row r="325" spans="1:16" x14ac:dyDescent="0.25">
      <c r="A325" t="s">
        <v>2178</v>
      </c>
      <c r="B325" t="s">
        <v>928</v>
      </c>
      <c r="C325" s="3">
        <v>42262</v>
      </c>
      <c r="D325" t="s">
        <v>1024</v>
      </c>
      <c r="E325">
        <v>9.99</v>
      </c>
      <c r="F325" t="s">
        <v>1042</v>
      </c>
      <c r="H325" t="s">
        <v>2109</v>
      </c>
      <c r="I325" t="s">
        <v>2109</v>
      </c>
      <c r="J325">
        <v>3649</v>
      </c>
      <c r="K325">
        <v>9</v>
      </c>
      <c r="L325" t="s">
        <v>2077</v>
      </c>
      <c r="M325">
        <v>179090</v>
      </c>
      <c r="N325">
        <v>6497</v>
      </c>
      <c r="O325">
        <v>185587</v>
      </c>
      <c r="P325" t="s">
        <v>2883</v>
      </c>
    </row>
    <row r="326" spans="1:16" x14ac:dyDescent="0.25">
      <c r="A326" t="s">
        <v>2389</v>
      </c>
      <c r="B326" t="s">
        <v>388</v>
      </c>
      <c r="C326" s="3">
        <v>45412</v>
      </c>
      <c r="D326" t="s">
        <v>1024</v>
      </c>
      <c r="E326">
        <v>39.99</v>
      </c>
      <c r="F326" t="s">
        <v>1026</v>
      </c>
      <c r="H326" t="s">
        <v>2390</v>
      </c>
      <c r="I326" t="s">
        <v>2390</v>
      </c>
      <c r="J326">
        <v>3646</v>
      </c>
      <c r="K326">
        <v>6</v>
      </c>
      <c r="L326" t="s">
        <v>2338</v>
      </c>
      <c r="M326">
        <v>37981</v>
      </c>
      <c r="N326">
        <v>13040</v>
      </c>
      <c r="O326">
        <v>51021</v>
      </c>
      <c r="P326" t="s">
        <v>2883</v>
      </c>
    </row>
    <row r="327" spans="1:16" x14ac:dyDescent="0.25">
      <c r="A327" t="s">
        <v>1330</v>
      </c>
      <c r="B327" t="s">
        <v>728</v>
      </c>
      <c r="C327" s="3">
        <v>42388</v>
      </c>
      <c r="D327" t="s">
        <v>1024</v>
      </c>
      <c r="E327">
        <v>19.989999999999998</v>
      </c>
      <c r="F327" t="s">
        <v>1026</v>
      </c>
      <c r="G327">
        <v>34</v>
      </c>
      <c r="H327" t="s">
        <v>1248</v>
      </c>
      <c r="I327" t="s">
        <v>1248</v>
      </c>
      <c r="J327">
        <v>3618</v>
      </c>
      <c r="K327">
        <v>8</v>
      </c>
      <c r="L327" t="s">
        <v>1022</v>
      </c>
      <c r="M327">
        <v>46602</v>
      </c>
      <c r="N327">
        <v>4837</v>
      </c>
      <c r="O327">
        <v>51439</v>
      </c>
      <c r="P327" t="s">
        <v>2883</v>
      </c>
    </row>
    <row r="328" spans="1:16" x14ac:dyDescent="0.25">
      <c r="A328" t="s">
        <v>1085</v>
      </c>
      <c r="B328" t="s">
        <v>48</v>
      </c>
      <c r="C328" s="3">
        <v>43614</v>
      </c>
      <c r="D328" t="s">
        <v>1024</v>
      </c>
      <c r="E328">
        <v>39.99</v>
      </c>
      <c r="F328" t="s">
        <v>1086</v>
      </c>
      <c r="H328" t="s">
        <v>1087</v>
      </c>
      <c r="I328" t="s">
        <v>1088</v>
      </c>
      <c r="J328">
        <v>3595</v>
      </c>
      <c r="K328">
        <v>8</v>
      </c>
      <c r="L328" t="s">
        <v>1022</v>
      </c>
      <c r="M328">
        <v>18186</v>
      </c>
      <c r="N328">
        <v>1486</v>
      </c>
      <c r="O328">
        <v>19672</v>
      </c>
      <c r="P328" t="s">
        <v>2883</v>
      </c>
    </row>
    <row r="329" spans="1:16" x14ac:dyDescent="0.25">
      <c r="A329" t="s">
        <v>1089</v>
      </c>
      <c r="B329" t="s">
        <v>779</v>
      </c>
      <c r="C329" s="3">
        <v>44183</v>
      </c>
      <c r="D329" t="s">
        <v>1024</v>
      </c>
      <c r="F329" t="s">
        <v>2892</v>
      </c>
      <c r="H329" t="s">
        <v>1002</v>
      </c>
      <c r="I329" t="s">
        <v>1002</v>
      </c>
      <c r="J329">
        <v>3540</v>
      </c>
      <c r="K329">
        <v>8</v>
      </c>
      <c r="L329" t="s">
        <v>1022</v>
      </c>
      <c r="M329">
        <v>1383</v>
      </c>
      <c r="N329">
        <v>203</v>
      </c>
      <c r="O329">
        <v>1586</v>
      </c>
      <c r="P329" t="s">
        <v>2883</v>
      </c>
    </row>
    <row r="330" spans="1:16" x14ac:dyDescent="0.25">
      <c r="A330" t="s">
        <v>1826</v>
      </c>
      <c r="B330" t="s">
        <v>810</v>
      </c>
      <c r="C330" s="3">
        <v>44476</v>
      </c>
      <c r="D330" t="s">
        <v>1019</v>
      </c>
      <c r="F330" t="s">
        <v>1020</v>
      </c>
      <c r="G330">
        <v>36</v>
      </c>
      <c r="H330" t="s">
        <v>1827</v>
      </c>
      <c r="I330" t="s">
        <v>1827</v>
      </c>
      <c r="J330">
        <v>3522</v>
      </c>
      <c r="K330">
        <v>8</v>
      </c>
      <c r="L330" t="s">
        <v>1022</v>
      </c>
      <c r="M330">
        <v>27384</v>
      </c>
      <c r="N330">
        <v>5641</v>
      </c>
      <c r="O330">
        <v>33025</v>
      </c>
      <c r="P330" t="s">
        <v>2882</v>
      </c>
    </row>
    <row r="331" spans="1:16" x14ac:dyDescent="0.25">
      <c r="A331" t="s">
        <v>2556</v>
      </c>
      <c r="B331" t="s">
        <v>43</v>
      </c>
      <c r="C331" s="3">
        <v>44901</v>
      </c>
      <c r="D331" t="s">
        <v>1024</v>
      </c>
      <c r="E331">
        <v>59.99</v>
      </c>
      <c r="F331" t="s">
        <v>1042</v>
      </c>
      <c r="G331">
        <v>92</v>
      </c>
      <c r="H331" t="s">
        <v>1345</v>
      </c>
      <c r="I331" t="s">
        <v>1212</v>
      </c>
      <c r="J331">
        <v>3516</v>
      </c>
      <c r="K331">
        <v>5</v>
      </c>
      <c r="L331" t="s">
        <v>2514</v>
      </c>
      <c r="M331">
        <v>10889</v>
      </c>
      <c r="N331">
        <v>5143</v>
      </c>
      <c r="O331">
        <v>16032</v>
      </c>
      <c r="P331" t="s">
        <v>2883</v>
      </c>
    </row>
    <row r="332" spans="1:16" x14ac:dyDescent="0.25">
      <c r="A332" t="s">
        <v>2636</v>
      </c>
      <c r="B332" t="s">
        <v>972</v>
      </c>
      <c r="C332" s="3">
        <v>45951</v>
      </c>
      <c r="D332" t="s">
        <v>1019</v>
      </c>
      <c r="F332" t="s">
        <v>1026</v>
      </c>
      <c r="G332">
        <v>64</v>
      </c>
      <c r="H332" t="s">
        <v>2637</v>
      </c>
      <c r="I332" t="s">
        <v>2637</v>
      </c>
      <c r="J332">
        <v>3510</v>
      </c>
      <c r="K332">
        <v>6</v>
      </c>
      <c r="L332" t="s">
        <v>2338</v>
      </c>
      <c r="M332">
        <v>2266</v>
      </c>
      <c r="N332">
        <v>865</v>
      </c>
      <c r="O332">
        <v>3131</v>
      </c>
      <c r="P332" t="s">
        <v>2882</v>
      </c>
    </row>
    <row r="333" spans="1:16" x14ac:dyDescent="0.25">
      <c r="A333" t="s">
        <v>1939</v>
      </c>
      <c r="B333" t="s">
        <v>161</v>
      </c>
      <c r="C333" s="3">
        <v>45244</v>
      </c>
      <c r="D333" t="s">
        <v>1024</v>
      </c>
      <c r="E333">
        <v>29.99</v>
      </c>
      <c r="F333" t="s">
        <v>1047</v>
      </c>
      <c r="G333">
        <v>51</v>
      </c>
      <c r="H333" t="s">
        <v>1940</v>
      </c>
      <c r="I333" t="s">
        <v>1656</v>
      </c>
      <c r="J333">
        <v>3492</v>
      </c>
      <c r="K333">
        <v>8</v>
      </c>
      <c r="L333" t="s">
        <v>1022</v>
      </c>
      <c r="M333">
        <v>15965</v>
      </c>
      <c r="N333">
        <v>1861</v>
      </c>
      <c r="O333">
        <v>17826</v>
      </c>
      <c r="P333" t="s">
        <v>2883</v>
      </c>
    </row>
    <row r="334" spans="1:16" x14ac:dyDescent="0.25">
      <c r="A334" t="s">
        <v>2391</v>
      </c>
      <c r="B334" t="s">
        <v>967</v>
      </c>
      <c r="C334" s="3">
        <v>46191</v>
      </c>
      <c r="D334" t="s">
        <v>1024</v>
      </c>
      <c r="E334">
        <v>0.99</v>
      </c>
      <c r="F334" t="s">
        <v>1029</v>
      </c>
      <c r="G334">
        <v>18</v>
      </c>
      <c r="H334" t="s">
        <v>2392</v>
      </c>
      <c r="I334" t="s">
        <v>2393</v>
      </c>
      <c r="J334">
        <v>3484</v>
      </c>
      <c r="K334">
        <v>6</v>
      </c>
      <c r="L334" t="s">
        <v>2338</v>
      </c>
      <c r="M334">
        <v>123</v>
      </c>
      <c r="N334">
        <v>31</v>
      </c>
      <c r="O334">
        <v>154</v>
      </c>
      <c r="P334" t="s">
        <v>2883</v>
      </c>
    </row>
    <row r="335" spans="1:16" x14ac:dyDescent="0.25">
      <c r="A335" t="s">
        <v>2180</v>
      </c>
      <c r="B335" t="s">
        <v>482</v>
      </c>
      <c r="C335" s="3">
        <v>45222</v>
      </c>
      <c r="D335" t="s">
        <v>1024</v>
      </c>
      <c r="E335">
        <v>9.99</v>
      </c>
      <c r="F335" t="s">
        <v>1026</v>
      </c>
      <c r="H335" t="s">
        <v>2181</v>
      </c>
      <c r="I335" t="s">
        <v>2181</v>
      </c>
      <c r="J335">
        <v>3478</v>
      </c>
      <c r="K335">
        <v>9</v>
      </c>
      <c r="L335" t="s">
        <v>2077</v>
      </c>
      <c r="M335">
        <v>335796</v>
      </c>
      <c r="N335">
        <v>9076</v>
      </c>
      <c r="O335">
        <v>344872</v>
      </c>
      <c r="P335" t="s">
        <v>2883</v>
      </c>
    </row>
    <row r="336" spans="1:16" x14ac:dyDescent="0.25">
      <c r="A336" t="s">
        <v>2394</v>
      </c>
      <c r="B336" t="s">
        <v>532</v>
      </c>
      <c r="C336" s="3">
        <v>44060</v>
      </c>
      <c r="D336" t="s">
        <v>1024</v>
      </c>
      <c r="E336">
        <v>59.99</v>
      </c>
      <c r="F336" t="s">
        <v>1110</v>
      </c>
      <c r="G336">
        <v>43</v>
      </c>
      <c r="H336" t="s">
        <v>1510</v>
      </c>
      <c r="I336" t="s">
        <v>1106</v>
      </c>
      <c r="J336">
        <v>3450</v>
      </c>
      <c r="K336">
        <v>6</v>
      </c>
      <c r="L336" t="s">
        <v>2338</v>
      </c>
      <c r="M336">
        <v>35687</v>
      </c>
      <c r="N336">
        <v>10157</v>
      </c>
      <c r="O336">
        <v>45844</v>
      </c>
      <c r="P336" t="s">
        <v>2883</v>
      </c>
    </row>
    <row r="337" spans="1:16" x14ac:dyDescent="0.25">
      <c r="A337" t="s">
        <v>1333</v>
      </c>
      <c r="B337" t="s">
        <v>162</v>
      </c>
      <c r="C337" s="3">
        <v>45531</v>
      </c>
      <c r="D337" t="s">
        <v>1024</v>
      </c>
      <c r="E337">
        <v>19.989999999999998</v>
      </c>
      <c r="F337" t="s">
        <v>1110</v>
      </c>
      <c r="G337">
        <v>55</v>
      </c>
      <c r="H337" t="s">
        <v>1334</v>
      </c>
      <c r="I337" t="s">
        <v>1335</v>
      </c>
      <c r="J337">
        <v>3439</v>
      </c>
      <c r="K337">
        <v>8</v>
      </c>
      <c r="L337" t="s">
        <v>1022</v>
      </c>
      <c r="M337">
        <v>29384</v>
      </c>
      <c r="N337">
        <v>1644</v>
      </c>
      <c r="O337">
        <v>31028</v>
      </c>
      <c r="P337" t="s">
        <v>2883</v>
      </c>
    </row>
    <row r="338" spans="1:16" x14ac:dyDescent="0.25">
      <c r="A338" t="s">
        <v>1331</v>
      </c>
      <c r="B338" t="s">
        <v>304</v>
      </c>
      <c r="C338" s="3">
        <v>41960</v>
      </c>
      <c r="D338" t="s">
        <v>1024</v>
      </c>
      <c r="E338">
        <v>29.99</v>
      </c>
      <c r="F338" t="s">
        <v>1113</v>
      </c>
      <c r="G338">
        <v>57</v>
      </c>
      <c r="H338" t="s">
        <v>1332</v>
      </c>
      <c r="I338" t="s">
        <v>1212</v>
      </c>
      <c r="J338">
        <v>3434</v>
      </c>
      <c r="K338">
        <v>8</v>
      </c>
      <c r="L338" t="s">
        <v>1022</v>
      </c>
      <c r="M338">
        <v>21427</v>
      </c>
      <c r="N338">
        <v>4977</v>
      </c>
      <c r="O338">
        <v>26404</v>
      </c>
      <c r="P338" t="s">
        <v>2883</v>
      </c>
    </row>
    <row r="339" spans="1:16" x14ac:dyDescent="0.25">
      <c r="A339" t="s">
        <v>2378</v>
      </c>
      <c r="B339" t="s">
        <v>871</v>
      </c>
      <c r="C339" s="3">
        <v>46189</v>
      </c>
      <c r="D339" t="s">
        <v>1024</v>
      </c>
      <c r="E339">
        <v>29.99</v>
      </c>
      <c r="F339" t="s">
        <v>1047</v>
      </c>
      <c r="G339">
        <v>176</v>
      </c>
      <c r="H339" t="s">
        <v>2379</v>
      </c>
      <c r="I339" t="s">
        <v>2379</v>
      </c>
      <c r="J339">
        <v>3427</v>
      </c>
      <c r="K339">
        <v>6</v>
      </c>
      <c r="L339" t="s">
        <v>2338</v>
      </c>
      <c r="M339">
        <v>697</v>
      </c>
      <c r="N339">
        <v>277</v>
      </c>
      <c r="O339">
        <v>974</v>
      </c>
      <c r="P339" t="s">
        <v>2883</v>
      </c>
    </row>
    <row r="340" spans="1:16" x14ac:dyDescent="0.25">
      <c r="A340" t="s">
        <v>1336</v>
      </c>
      <c r="B340" t="s">
        <v>0</v>
      </c>
      <c r="C340" s="3">
        <v>46168</v>
      </c>
      <c r="D340" t="s">
        <v>1024</v>
      </c>
      <c r="E340">
        <v>69.989999999999995</v>
      </c>
      <c r="F340" t="s">
        <v>1113</v>
      </c>
      <c r="G340">
        <v>37</v>
      </c>
      <c r="H340" t="s">
        <v>1297</v>
      </c>
      <c r="I340" t="s">
        <v>1297</v>
      </c>
      <c r="J340">
        <v>3406</v>
      </c>
      <c r="K340">
        <v>8</v>
      </c>
      <c r="L340" t="s">
        <v>1022</v>
      </c>
      <c r="M340">
        <v>19551</v>
      </c>
      <c r="N340">
        <v>1945</v>
      </c>
      <c r="O340">
        <v>21496</v>
      </c>
      <c r="P340" t="s">
        <v>2883</v>
      </c>
    </row>
    <row r="341" spans="1:16" x14ac:dyDescent="0.25">
      <c r="A341" t="s">
        <v>1093</v>
      </c>
      <c r="B341" t="s">
        <v>622</v>
      </c>
      <c r="C341" s="3">
        <v>46167</v>
      </c>
      <c r="D341" t="s">
        <v>1024</v>
      </c>
      <c r="E341">
        <v>39.99</v>
      </c>
      <c r="F341" t="s">
        <v>1026</v>
      </c>
      <c r="H341" t="s">
        <v>1094</v>
      </c>
      <c r="I341" t="s">
        <v>1095</v>
      </c>
      <c r="J341">
        <v>3405</v>
      </c>
      <c r="K341">
        <v>8</v>
      </c>
      <c r="L341" t="s">
        <v>1022</v>
      </c>
      <c r="M341">
        <v>12774</v>
      </c>
      <c r="N341">
        <v>1241</v>
      </c>
      <c r="O341">
        <v>14015</v>
      </c>
      <c r="P341" t="s">
        <v>2883</v>
      </c>
    </row>
    <row r="342" spans="1:16" x14ac:dyDescent="0.25">
      <c r="A342" t="s">
        <v>1695</v>
      </c>
      <c r="B342" t="s">
        <v>65</v>
      </c>
      <c r="C342" s="3">
        <v>42178</v>
      </c>
      <c r="D342" t="s">
        <v>1024</v>
      </c>
      <c r="E342">
        <v>19.989999999999998</v>
      </c>
      <c r="F342" t="s">
        <v>1042</v>
      </c>
      <c r="G342">
        <v>301</v>
      </c>
      <c r="H342" t="s">
        <v>1696</v>
      </c>
      <c r="I342" t="s">
        <v>1696</v>
      </c>
      <c r="J342">
        <v>3402</v>
      </c>
      <c r="K342">
        <v>8</v>
      </c>
      <c r="L342" t="s">
        <v>1022</v>
      </c>
      <c r="M342">
        <v>12639</v>
      </c>
      <c r="N342">
        <v>1267</v>
      </c>
      <c r="O342">
        <v>13906</v>
      </c>
      <c r="P342" t="s">
        <v>2883</v>
      </c>
    </row>
    <row r="343" spans="1:16" x14ac:dyDescent="0.25">
      <c r="A343" t="s">
        <v>2767</v>
      </c>
      <c r="B343" t="s">
        <v>562</v>
      </c>
      <c r="C343" s="3">
        <v>45197</v>
      </c>
      <c r="D343" t="s">
        <v>1019</v>
      </c>
      <c r="F343" t="s">
        <v>1020</v>
      </c>
      <c r="G343">
        <v>15</v>
      </c>
      <c r="H343" t="s">
        <v>2768</v>
      </c>
      <c r="I343" t="s">
        <v>1324</v>
      </c>
      <c r="J343">
        <v>3397</v>
      </c>
      <c r="K343">
        <v>5</v>
      </c>
      <c r="L343" t="s">
        <v>2514</v>
      </c>
      <c r="M343">
        <v>8512</v>
      </c>
      <c r="N343">
        <v>4184</v>
      </c>
      <c r="O343">
        <v>12696</v>
      </c>
      <c r="P343" t="s">
        <v>2882</v>
      </c>
    </row>
    <row r="344" spans="1:16" x14ac:dyDescent="0.25">
      <c r="A344" t="s">
        <v>2769</v>
      </c>
      <c r="B344" t="s">
        <v>580</v>
      </c>
      <c r="C344" s="3">
        <v>43739</v>
      </c>
      <c r="D344" t="s">
        <v>1019</v>
      </c>
      <c r="F344" t="s">
        <v>1020</v>
      </c>
      <c r="G344">
        <v>61</v>
      </c>
      <c r="H344" t="s">
        <v>2770</v>
      </c>
      <c r="I344" t="s">
        <v>2770</v>
      </c>
      <c r="J344">
        <v>3380</v>
      </c>
      <c r="K344">
        <v>9</v>
      </c>
      <c r="L344" t="s">
        <v>2077</v>
      </c>
      <c r="M344">
        <v>10318</v>
      </c>
      <c r="N344">
        <v>461</v>
      </c>
      <c r="O344">
        <v>10779</v>
      </c>
      <c r="P344" t="s">
        <v>2882</v>
      </c>
    </row>
    <row r="345" spans="1:16" x14ac:dyDescent="0.25">
      <c r="A345" t="s">
        <v>2179</v>
      </c>
      <c r="B345" t="s">
        <v>935</v>
      </c>
      <c r="C345" s="3">
        <v>44854</v>
      </c>
      <c r="D345" t="s">
        <v>1024</v>
      </c>
      <c r="E345">
        <v>4.99</v>
      </c>
      <c r="F345" t="s">
        <v>1042</v>
      </c>
      <c r="G345">
        <v>243</v>
      </c>
      <c r="H345" t="s">
        <v>2025</v>
      </c>
      <c r="I345" t="s">
        <v>2025</v>
      </c>
      <c r="J345">
        <v>3342</v>
      </c>
      <c r="K345">
        <v>9</v>
      </c>
      <c r="L345" t="s">
        <v>2077</v>
      </c>
      <c r="M345">
        <v>133055</v>
      </c>
      <c r="N345">
        <v>2145</v>
      </c>
      <c r="O345">
        <v>135200</v>
      </c>
      <c r="P345" t="s">
        <v>2883</v>
      </c>
    </row>
    <row r="346" spans="1:16" x14ac:dyDescent="0.25">
      <c r="A346" t="s">
        <v>1090</v>
      </c>
      <c r="B346" t="s">
        <v>739</v>
      </c>
      <c r="C346" s="3">
        <v>42279</v>
      </c>
      <c r="D346" t="s">
        <v>1019</v>
      </c>
      <c r="F346" t="s">
        <v>1091</v>
      </c>
      <c r="H346" t="s">
        <v>1092</v>
      </c>
      <c r="I346" t="s">
        <v>1092</v>
      </c>
      <c r="J346">
        <v>3295</v>
      </c>
      <c r="K346">
        <v>8</v>
      </c>
      <c r="L346" t="s">
        <v>1022</v>
      </c>
      <c r="M346">
        <v>2609</v>
      </c>
      <c r="N346">
        <v>146</v>
      </c>
      <c r="O346">
        <v>2755</v>
      </c>
      <c r="P346" t="s">
        <v>2882</v>
      </c>
    </row>
    <row r="347" spans="1:16" x14ac:dyDescent="0.25">
      <c r="A347" t="s">
        <v>1337</v>
      </c>
      <c r="B347" t="s">
        <v>392</v>
      </c>
      <c r="C347" s="3">
        <v>44831</v>
      </c>
      <c r="D347" t="s">
        <v>1024</v>
      </c>
      <c r="E347">
        <v>39.99</v>
      </c>
      <c r="F347" t="s">
        <v>1113</v>
      </c>
      <c r="G347">
        <v>45</v>
      </c>
      <c r="H347" t="s">
        <v>1105</v>
      </c>
      <c r="I347" t="s">
        <v>1106</v>
      </c>
      <c r="J347">
        <v>3295</v>
      </c>
      <c r="K347">
        <v>8</v>
      </c>
      <c r="L347" t="s">
        <v>1022</v>
      </c>
      <c r="M347">
        <v>46409</v>
      </c>
      <c r="N347">
        <v>4123</v>
      </c>
      <c r="O347">
        <v>50532</v>
      </c>
      <c r="P347" t="s">
        <v>2883</v>
      </c>
    </row>
    <row r="348" spans="1:16" x14ac:dyDescent="0.25">
      <c r="A348" t="s">
        <v>1943</v>
      </c>
      <c r="B348" t="s">
        <v>15</v>
      </c>
      <c r="C348" s="3">
        <v>45539</v>
      </c>
      <c r="D348" t="s">
        <v>1024</v>
      </c>
      <c r="E348">
        <v>29.99</v>
      </c>
      <c r="F348" t="s">
        <v>1047</v>
      </c>
      <c r="G348">
        <v>132</v>
      </c>
      <c r="H348" t="s">
        <v>1825</v>
      </c>
      <c r="I348" t="s">
        <v>1106</v>
      </c>
      <c r="J348">
        <v>3266</v>
      </c>
      <c r="K348">
        <v>8</v>
      </c>
      <c r="L348" t="s">
        <v>1022</v>
      </c>
      <c r="M348">
        <v>10227</v>
      </c>
      <c r="N348">
        <v>1151</v>
      </c>
      <c r="O348">
        <v>11378</v>
      </c>
      <c r="P348" t="s">
        <v>2883</v>
      </c>
    </row>
    <row r="349" spans="1:16" x14ac:dyDescent="0.25">
      <c r="A349" t="s">
        <v>2765</v>
      </c>
      <c r="B349" t="s">
        <v>938</v>
      </c>
      <c r="C349" s="3">
        <v>45151</v>
      </c>
      <c r="D349" t="s">
        <v>1019</v>
      </c>
      <c r="F349" t="s">
        <v>1020</v>
      </c>
      <c r="G349">
        <v>75</v>
      </c>
      <c r="H349" t="s">
        <v>2766</v>
      </c>
      <c r="I349" t="s">
        <v>2766</v>
      </c>
      <c r="J349">
        <v>3249</v>
      </c>
      <c r="K349">
        <v>9</v>
      </c>
      <c r="L349" t="s">
        <v>2077</v>
      </c>
      <c r="M349">
        <v>3486</v>
      </c>
      <c r="N349">
        <v>173</v>
      </c>
      <c r="O349">
        <v>3659</v>
      </c>
      <c r="P349" t="s">
        <v>2882</v>
      </c>
    </row>
    <row r="350" spans="1:16" x14ac:dyDescent="0.25">
      <c r="A350" t="s">
        <v>2182</v>
      </c>
      <c r="B350" t="s">
        <v>556</v>
      </c>
      <c r="C350" s="3">
        <v>40268</v>
      </c>
      <c r="D350" t="s">
        <v>1024</v>
      </c>
      <c r="E350">
        <v>19.989999999999998</v>
      </c>
      <c r="F350" t="s">
        <v>1042</v>
      </c>
      <c r="G350">
        <v>80</v>
      </c>
      <c r="H350" t="s">
        <v>1902</v>
      </c>
      <c r="I350" t="s">
        <v>1902</v>
      </c>
      <c r="J350">
        <v>3235</v>
      </c>
      <c r="K350">
        <v>9</v>
      </c>
      <c r="L350" t="s">
        <v>2077</v>
      </c>
      <c r="M350">
        <v>66912</v>
      </c>
      <c r="N350">
        <v>1638</v>
      </c>
      <c r="O350">
        <v>68550</v>
      </c>
      <c r="P350" t="s">
        <v>2883</v>
      </c>
    </row>
    <row r="351" spans="1:16" x14ac:dyDescent="0.25">
      <c r="A351" t="s">
        <v>1340</v>
      </c>
      <c r="B351" t="s">
        <v>856</v>
      </c>
      <c r="C351" s="3">
        <v>45967</v>
      </c>
      <c r="D351" t="s">
        <v>1024</v>
      </c>
      <c r="E351">
        <v>34.99</v>
      </c>
      <c r="F351" t="s">
        <v>1026</v>
      </c>
      <c r="G351">
        <v>15</v>
      </c>
      <c r="H351" t="s">
        <v>1341</v>
      </c>
      <c r="I351" t="s">
        <v>1341</v>
      </c>
      <c r="J351">
        <v>3228</v>
      </c>
      <c r="K351">
        <v>8</v>
      </c>
      <c r="L351" t="s">
        <v>1022</v>
      </c>
      <c r="M351">
        <v>6933</v>
      </c>
      <c r="N351">
        <v>1197</v>
      </c>
      <c r="O351">
        <v>8130</v>
      </c>
      <c r="P351" t="s">
        <v>2883</v>
      </c>
    </row>
    <row r="352" spans="1:16" x14ac:dyDescent="0.25">
      <c r="A352" t="s">
        <v>1941</v>
      </c>
      <c r="B352" t="s">
        <v>217</v>
      </c>
      <c r="C352" s="3">
        <v>46064</v>
      </c>
      <c r="D352" t="s">
        <v>1024</v>
      </c>
      <c r="E352">
        <v>39.99</v>
      </c>
      <c r="F352" t="s">
        <v>1047</v>
      </c>
      <c r="G352">
        <v>43</v>
      </c>
      <c r="H352" t="s">
        <v>1942</v>
      </c>
      <c r="I352" t="s">
        <v>1942</v>
      </c>
      <c r="J352">
        <v>3184</v>
      </c>
      <c r="K352">
        <v>8</v>
      </c>
      <c r="L352" t="s">
        <v>1022</v>
      </c>
      <c r="M352">
        <v>3015</v>
      </c>
      <c r="N352">
        <v>466</v>
      </c>
      <c r="O352">
        <v>3481</v>
      </c>
      <c r="P352" t="s">
        <v>2883</v>
      </c>
    </row>
    <row r="353" spans="1:16" x14ac:dyDescent="0.25">
      <c r="A353" t="s">
        <v>1944</v>
      </c>
      <c r="B353" t="s">
        <v>628</v>
      </c>
      <c r="C353" s="3">
        <v>44441</v>
      </c>
      <c r="D353" t="s">
        <v>1024</v>
      </c>
      <c r="E353">
        <v>19.989999999999998</v>
      </c>
      <c r="F353" t="s">
        <v>1047</v>
      </c>
      <c r="G353">
        <v>153</v>
      </c>
      <c r="H353" t="s">
        <v>1910</v>
      </c>
      <c r="I353" t="s">
        <v>1945</v>
      </c>
      <c r="J353">
        <v>3177</v>
      </c>
      <c r="K353">
        <v>8</v>
      </c>
      <c r="L353" t="s">
        <v>1022</v>
      </c>
      <c r="M353">
        <v>19618</v>
      </c>
      <c r="N353">
        <v>4192</v>
      </c>
      <c r="O353">
        <v>23810</v>
      </c>
      <c r="P353" t="s">
        <v>2883</v>
      </c>
    </row>
    <row r="354" spans="1:16" x14ac:dyDescent="0.25">
      <c r="A354" t="s">
        <v>2638</v>
      </c>
      <c r="B354" t="s">
        <v>210</v>
      </c>
      <c r="C354" s="3">
        <v>45664</v>
      </c>
      <c r="D354" t="s">
        <v>1019</v>
      </c>
      <c r="F354" t="s">
        <v>1067</v>
      </c>
      <c r="H354" t="s">
        <v>2639</v>
      </c>
      <c r="I354" t="s">
        <v>2639</v>
      </c>
      <c r="J354">
        <v>3176</v>
      </c>
      <c r="K354">
        <v>5</v>
      </c>
      <c r="L354" t="s">
        <v>2514</v>
      </c>
      <c r="M354">
        <v>3150</v>
      </c>
      <c r="N354">
        <v>2040</v>
      </c>
      <c r="O354">
        <v>5190</v>
      </c>
      <c r="P354" t="s">
        <v>2882</v>
      </c>
    </row>
    <row r="355" spans="1:16" x14ac:dyDescent="0.25">
      <c r="A355" t="s">
        <v>1338</v>
      </c>
      <c r="B355" t="s">
        <v>514</v>
      </c>
      <c r="C355" s="3">
        <v>45687</v>
      </c>
      <c r="D355" t="s">
        <v>1024</v>
      </c>
      <c r="E355">
        <v>59.99</v>
      </c>
      <c r="F355" t="s">
        <v>1113</v>
      </c>
      <c r="G355">
        <v>43</v>
      </c>
      <c r="H355" t="s">
        <v>1339</v>
      </c>
      <c r="I355" t="s">
        <v>1223</v>
      </c>
      <c r="J355">
        <v>3170</v>
      </c>
      <c r="K355">
        <v>8</v>
      </c>
      <c r="L355" t="s">
        <v>1022</v>
      </c>
      <c r="M355">
        <v>16630</v>
      </c>
      <c r="N355">
        <v>3526</v>
      </c>
      <c r="O355">
        <v>20156</v>
      </c>
      <c r="P355" t="s">
        <v>2883</v>
      </c>
    </row>
    <row r="356" spans="1:16" x14ac:dyDescent="0.25">
      <c r="A356" t="s">
        <v>1697</v>
      </c>
      <c r="B356" t="s">
        <v>523</v>
      </c>
      <c r="C356" s="3">
        <v>44518</v>
      </c>
      <c r="D356" t="s">
        <v>1024</v>
      </c>
      <c r="E356">
        <v>9.99</v>
      </c>
      <c r="F356" t="s">
        <v>1042</v>
      </c>
      <c r="G356">
        <v>86</v>
      </c>
      <c r="H356" t="s">
        <v>1698</v>
      </c>
      <c r="I356" t="s">
        <v>1275</v>
      </c>
      <c r="J356">
        <v>3154</v>
      </c>
      <c r="K356">
        <v>8</v>
      </c>
      <c r="L356" t="s">
        <v>1022</v>
      </c>
      <c r="M356">
        <v>8533</v>
      </c>
      <c r="N356">
        <v>730</v>
      </c>
      <c r="O356">
        <v>9263</v>
      </c>
      <c r="P356" t="s">
        <v>2883</v>
      </c>
    </row>
    <row r="357" spans="1:16" x14ac:dyDescent="0.25">
      <c r="A357" t="s">
        <v>1351</v>
      </c>
      <c r="B357" t="s">
        <v>820</v>
      </c>
      <c r="C357" s="3">
        <v>46072</v>
      </c>
      <c r="D357" t="s">
        <v>1024</v>
      </c>
      <c r="E357">
        <v>7.99</v>
      </c>
      <c r="F357" t="s">
        <v>1086</v>
      </c>
      <c r="G357">
        <v>50</v>
      </c>
      <c r="H357" t="s">
        <v>1352</v>
      </c>
      <c r="I357" t="s">
        <v>1353</v>
      </c>
      <c r="J357">
        <v>3130</v>
      </c>
      <c r="K357">
        <v>8</v>
      </c>
      <c r="L357" t="s">
        <v>1022</v>
      </c>
      <c r="M357">
        <v>7599</v>
      </c>
      <c r="N357">
        <v>543</v>
      </c>
      <c r="O357">
        <v>8142</v>
      </c>
      <c r="P357" t="s">
        <v>2883</v>
      </c>
    </row>
    <row r="358" spans="1:16" x14ac:dyDescent="0.25">
      <c r="A358" t="s">
        <v>1344</v>
      </c>
      <c r="B358" t="s">
        <v>305</v>
      </c>
      <c r="C358" s="3">
        <v>43185</v>
      </c>
      <c r="D358" t="s">
        <v>1024</v>
      </c>
      <c r="E358">
        <v>59.99</v>
      </c>
      <c r="F358" t="s">
        <v>1113</v>
      </c>
      <c r="G358">
        <v>72</v>
      </c>
      <c r="H358" t="s">
        <v>1345</v>
      </c>
      <c r="I358" t="s">
        <v>1212</v>
      </c>
      <c r="J358">
        <v>3129</v>
      </c>
      <c r="K358">
        <v>8</v>
      </c>
      <c r="L358" t="s">
        <v>1022</v>
      </c>
      <c r="M358">
        <v>60683</v>
      </c>
      <c r="N358">
        <v>14533</v>
      </c>
      <c r="O358">
        <v>75216</v>
      </c>
      <c r="P358" t="s">
        <v>2883</v>
      </c>
    </row>
    <row r="359" spans="1:16" x14ac:dyDescent="0.25">
      <c r="A359" t="s">
        <v>1354</v>
      </c>
      <c r="B359" t="s">
        <v>159</v>
      </c>
      <c r="C359" s="3">
        <v>45383</v>
      </c>
      <c r="D359" t="s">
        <v>1024</v>
      </c>
      <c r="E359">
        <v>7.99</v>
      </c>
      <c r="F359" t="s">
        <v>1208</v>
      </c>
      <c r="G359">
        <v>48</v>
      </c>
      <c r="H359" t="s">
        <v>1355</v>
      </c>
      <c r="I359" t="s">
        <v>1356</v>
      </c>
      <c r="J359">
        <v>3127</v>
      </c>
      <c r="K359">
        <v>8</v>
      </c>
      <c r="L359" t="s">
        <v>1022</v>
      </c>
      <c r="M359">
        <v>69828</v>
      </c>
      <c r="N359">
        <v>4442</v>
      </c>
      <c r="O359">
        <v>74270</v>
      </c>
      <c r="P359" t="s">
        <v>2883</v>
      </c>
    </row>
    <row r="360" spans="1:16" x14ac:dyDescent="0.25">
      <c r="A360" t="s">
        <v>2557</v>
      </c>
      <c r="B360" t="s">
        <v>125</v>
      </c>
      <c r="C360" s="3">
        <v>45240</v>
      </c>
      <c r="D360" t="s">
        <v>1024</v>
      </c>
      <c r="E360">
        <v>69.989999999999995</v>
      </c>
      <c r="F360" t="s">
        <v>1189</v>
      </c>
      <c r="G360">
        <v>39</v>
      </c>
      <c r="H360" t="s">
        <v>2558</v>
      </c>
      <c r="I360" t="s">
        <v>1272</v>
      </c>
      <c r="J360">
        <v>3098</v>
      </c>
      <c r="K360">
        <v>5</v>
      </c>
      <c r="L360" t="s">
        <v>2514</v>
      </c>
      <c r="M360">
        <v>4305</v>
      </c>
      <c r="N360">
        <v>5874</v>
      </c>
      <c r="O360">
        <v>10179</v>
      </c>
      <c r="P360" t="s">
        <v>2883</v>
      </c>
    </row>
    <row r="361" spans="1:16" x14ac:dyDescent="0.25">
      <c r="A361" t="s">
        <v>2183</v>
      </c>
      <c r="B361" t="s">
        <v>800</v>
      </c>
      <c r="C361" s="3">
        <v>45819</v>
      </c>
      <c r="D361" t="s">
        <v>1024</v>
      </c>
      <c r="E361">
        <v>59.99</v>
      </c>
      <c r="F361" t="s">
        <v>1042</v>
      </c>
      <c r="G361">
        <v>45</v>
      </c>
      <c r="H361" t="s">
        <v>2184</v>
      </c>
      <c r="I361" t="s">
        <v>2185</v>
      </c>
      <c r="J361">
        <v>3095</v>
      </c>
      <c r="K361">
        <v>9</v>
      </c>
      <c r="L361" t="s">
        <v>2077</v>
      </c>
      <c r="M361">
        <v>21579</v>
      </c>
      <c r="N361">
        <v>1062</v>
      </c>
      <c r="O361">
        <v>22641</v>
      </c>
      <c r="P361" t="s">
        <v>2883</v>
      </c>
    </row>
    <row r="362" spans="1:16" x14ac:dyDescent="0.25">
      <c r="A362" t="s">
        <v>2186</v>
      </c>
      <c r="B362" t="s">
        <v>179</v>
      </c>
      <c r="C362" s="3">
        <v>44784</v>
      </c>
      <c r="D362" t="s">
        <v>1024</v>
      </c>
      <c r="E362">
        <v>24.99</v>
      </c>
      <c r="F362" t="s">
        <v>1047</v>
      </c>
      <c r="G362">
        <v>57</v>
      </c>
      <c r="H362" t="s">
        <v>2187</v>
      </c>
      <c r="I362" t="s">
        <v>1598</v>
      </c>
      <c r="J362">
        <v>3074</v>
      </c>
      <c r="K362">
        <v>9</v>
      </c>
      <c r="L362" t="s">
        <v>2077</v>
      </c>
      <c r="M362">
        <v>66243</v>
      </c>
      <c r="N362">
        <v>2430</v>
      </c>
      <c r="O362">
        <v>68673</v>
      </c>
      <c r="P362" t="s">
        <v>2883</v>
      </c>
    </row>
    <row r="363" spans="1:16" x14ac:dyDescent="0.25">
      <c r="A363" t="s">
        <v>1342</v>
      </c>
      <c r="B363" t="s">
        <v>432</v>
      </c>
      <c r="C363" s="3">
        <v>44201</v>
      </c>
      <c r="D363" t="s">
        <v>1024</v>
      </c>
      <c r="E363">
        <v>7.99</v>
      </c>
      <c r="F363" t="s">
        <v>1055</v>
      </c>
      <c r="G363">
        <v>8</v>
      </c>
      <c r="H363" t="s">
        <v>1343</v>
      </c>
      <c r="I363" t="s">
        <v>1343</v>
      </c>
      <c r="J363">
        <v>3069</v>
      </c>
      <c r="K363">
        <v>8</v>
      </c>
      <c r="L363" t="s">
        <v>1022</v>
      </c>
      <c r="M363">
        <v>1553</v>
      </c>
      <c r="N363">
        <v>232</v>
      </c>
      <c r="O363">
        <v>1785</v>
      </c>
      <c r="P363" t="s">
        <v>2883</v>
      </c>
    </row>
    <row r="364" spans="1:16" x14ac:dyDescent="0.25">
      <c r="A364" t="s">
        <v>2395</v>
      </c>
      <c r="B364" t="s">
        <v>859</v>
      </c>
      <c r="C364" s="3">
        <v>46223</v>
      </c>
      <c r="D364" t="s">
        <v>1024</v>
      </c>
      <c r="E364">
        <v>24.99</v>
      </c>
      <c r="F364" t="s">
        <v>1042</v>
      </c>
      <c r="G364">
        <v>79</v>
      </c>
      <c r="H364" t="s">
        <v>2396</v>
      </c>
      <c r="I364" t="s">
        <v>1918</v>
      </c>
      <c r="J364">
        <v>3037</v>
      </c>
      <c r="K364">
        <v>6</v>
      </c>
      <c r="L364" t="s">
        <v>2338</v>
      </c>
      <c r="M364">
        <v>35</v>
      </c>
      <c r="N364">
        <v>9</v>
      </c>
      <c r="O364">
        <v>44</v>
      </c>
      <c r="P364" t="s">
        <v>2883</v>
      </c>
    </row>
    <row r="365" spans="1:16" x14ac:dyDescent="0.25">
      <c r="A365" t="s">
        <v>1828</v>
      </c>
      <c r="B365" t="s">
        <v>101</v>
      </c>
      <c r="C365" s="3">
        <v>46139</v>
      </c>
      <c r="D365" t="s">
        <v>1019</v>
      </c>
      <c r="F365" t="s">
        <v>1020</v>
      </c>
      <c r="G365">
        <v>11</v>
      </c>
      <c r="H365" t="s">
        <v>1829</v>
      </c>
      <c r="I365" t="s">
        <v>1830</v>
      </c>
      <c r="J365">
        <v>3010</v>
      </c>
      <c r="K365">
        <v>8</v>
      </c>
      <c r="L365" t="s">
        <v>1022</v>
      </c>
      <c r="M365">
        <v>168</v>
      </c>
      <c r="N365">
        <v>24</v>
      </c>
      <c r="O365">
        <v>192</v>
      </c>
      <c r="P365" t="s">
        <v>2882</v>
      </c>
    </row>
    <row r="366" spans="1:16" x14ac:dyDescent="0.25">
      <c r="A366" t="s">
        <v>1346</v>
      </c>
      <c r="B366" t="s">
        <v>624</v>
      </c>
      <c r="C366" s="3">
        <v>45189</v>
      </c>
      <c r="D366" t="s">
        <v>1024</v>
      </c>
      <c r="E366">
        <v>19.989999999999998</v>
      </c>
      <c r="F366" t="s">
        <v>1208</v>
      </c>
      <c r="G366">
        <v>116</v>
      </c>
      <c r="H366" t="s">
        <v>1347</v>
      </c>
      <c r="I366" t="s">
        <v>1348</v>
      </c>
      <c r="J366">
        <v>3004</v>
      </c>
      <c r="K366">
        <v>8</v>
      </c>
      <c r="L366" t="s">
        <v>1022</v>
      </c>
      <c r="M366">
        <v>19446</v>
      </c>
      <c r="N366">
        <v>2441</v>
      </c>
      <c r="O366">
        <v>21887</v>
      </c>
      <c r="P366" t="s">
        <v>2883</v>
      </c>
    </row>
    <row r="367" spans="1:16" x14ac:dyDescent="0.25">
      <c r="A367" t="s">
        <v>1700</v>
      </c>
      <c r="B367" t="s">
        <v>427</v>
      </c>
      <c r="C367" s="3">
        <v>45372</v>
      </c>
      <c r="D367" t="s">
        <v>1024</v>
      </c>
      <c r="E367">
        <v>59.99</v>
      </c>
      <c r="F367" t="s">
        <v>1042</v>
      </c>
      <c r="G367">
        <v>80</v>
      </c>
      <c r="H367" t="s">
        <v>1701</v>
      </c>
      <c r="I367" t="s">
        <v>1223</v>
      </c>
      <c r="J367">
        <v>2977</v>
      </c>
      <c r="K367">
        <v>8</v>
      </c>
      <c r="L367" t="s">
        <v>1022</v>
      </c>
      <c r="M367">
        <v>12966</v>
      </c>
      <c r="N367">
        <v>1754</v>
      </c>
      <c r="O367">
        <v>14720</v>
      </c>
      <c r="P367" t="s">
        <v>2883</v>
      </c>
    </row>
    <row r="368" spans="1:16" x14ac:dyDescent="0.25">
      <c r="A368" t="s">
        <v>1349</v>
      </c>
      <c r="B368" t="s">
        <v>192</v>
      </c>
      <c r="C368" s="3">
        <v>44333</v>
      </c>
      <c r="D368" t="s">
        <v>1024</v>
      </c>
      <c r="E368">
        <v>39.99</v>
      </c>
      <c r="F368" t="s">
        <v>1113</v>
      </c>
      <c r="G368">
        <v>67</v>
      </c>
      <c r="H368" t="s">
        <v>1350</v>
      </c>
      <c r="I368" t="s">
        <v>1223</v>
      </c>
      <c r="J368">
        <v>2974</v>
      </c>
      <c r="K368">
        <v>8</v>
      </c>
      <c r="L368" t="s">
        <v>1022</v>
      </c>
      <c r="M368">
        <v>45709</v>
      </c>
      <c r="N368">
        <v>3912</v>
      </c>
      <c r="O368">
        <v>49621</v>
      </c>
      <c r="P368" t="s">
        <v>2883</v>
      </c>
    </row>
    <row r="369" spans="1:16" x14ac:dyDescent="0.25">
      <c r="A369" t="s">
        <v>2397</v>
      </c>
      <c r="B369" t="s">
        <v>310</v>
      </c>
      <c r="C369" s="3">
        <v>46148</v>
      </c>
      <c r="D369" t="s">
        <v>1024</v>
      </c>
      <c r="E369">
        <v>19.989999999999998</v>
      </c>
      <c r="F369" t="s">
        <v>1026</v>
      </c>
      <c r="G369">
        <v>13</v>
      </c>
      <c r="H369" t="s">
        <v>1961</v>
      </c>
      <c r="I369" t="s">
        <v>1961</v>
      </c>
      <c r="J369">
        <v>2971</v>
      </c>
      <c r="K369">
        <v>6</v>
      </c>
      <c r="L369" t="s">
        <v>2338</v>
      </c>
      <c r="M369">
        <v>3685</v>
      </c>
      <c r="N369">
        <v>1299</v>
      </c>
      <c r="O369">
        <v>4984</v>
      </c>
      <c r="P369" t="s">
        <v>2883</v>
      </c>
    </row>
    <row r="370" spans="1:16" x14ac:dyDescent="0.25">
      <c r="A370" t="s">
        <v>2771</v>
      </c>
      <c r="B370" t="s">
        <v>829</v>
      </c>
      <c r="C370" s="3">
        <v>44637</v>
      </c>
      <c r="D370" t="s">
        <v>1019</v>
      </c>
      <c r="F370" t="s">
        <v>1020</v>
      </c>
      <c r="G370">
        <v>160</v>
      </c>
      <c r="H370" t="s">
        <v>2772</v>
      </c>
      <c r="I370" t="s">
        <v>2772</v>
      </c>
      <c r="J370">
        <v>2963</v>
      </c>
      <c r="K370">
        <v>6</v>
      </c>
      <c r="L370" t="s">
        <v>2338</v>
      </c>
      <c r="M370">
        <v>2198</v>
      </c>
      <c r="N370">
        <v>598</v>
      </c>
      <c r="O370">
        <v>2796</v>
      </c>
      <c r="P370" t="s">
        <v>2882</v>
      </c>
    </row>
    <row r="371" spans="1:16" x14ac:dyDescent="0.25">
      <c r="A371" t="s">
        <v>2189</v>
      </c>
      <c r="B371" t="s">
        <v>10</v>
      </c>
      <c r="C371" s="3">
        <v>41373</v>
      </c>
      <c r="D371" t="s">
        <v>1024</v>
      </c>
      <c r="E371">
        <v>19.989999999999998</v>
      </c>
      <c r="F371" t="s">
        <v>1047</v>
      </c>
      <c r="G371">
        <v>294</v>
      </c>
      <c r="H371" t="s">
        <v>2027</v>
      </c>
      <c r="I371" t="s">
        <v>1106</v>
      </c>
      <c r="J371">
        <v>2940</v>
      </c>
      <c r="K371">
        <v>9</v>
      </c>
      <c r="L371" t="s">
        <v>2077</v>
      </c>
      <c r="M371">
        <v>42958</v>
      </c>
      <c r="N371">
        <v>2118</v>
      </c>
      <c r="O371">
        <v>45076</v>
      </c>
      <c r="P371" t="s">
        <v>2883</v>
      </c>
    </row>
    <row r="372" spans="1:16" x14ac:dyDescent="0.25">
      <c r="A372" t="s">
        <v>1948</v>
      </c>
      <c r="B372" t="s">
        <v>902</v>
      </c>
      <c r="C372" s="3">
        <v>39876</v>
      </c>
      <c r="D372" t="s">
        <v>1024</v>
      </c>
      <c r="E372">
        <v>24.99</v>
      </c>
      <c r="F372" t="s">
        <v>1047</v>
      </c>
      <c r="G372">
        <v>30</v>
      </c>
      <c r="H372" t="s">
        <v>1644</v>
      </c>
      <c r="I372" t="s">
        <v>1555</v>
      </c>
      <c r="J372">
        <v>2937</v>
      </c>
      <c r="K372">
        <v>8</v>
      </c>
      <c r="L372" t="s">
        <v>1022</v>
      </c>
      <c r="M372">
        <v>19433</v>
      </c>
      <c r="N372">
        <v>2079</v>
      </c>
      <c r="O372">
        <v>21512</v>
      </c>
      <c r="P372" t="s">
        <v>2883</v>
      </c>
    </row>
    <row r="373" spans="1:16" x14ac:dyDescent="0.25">
      <c r="A373" t="s">
        <v>2188</v>
      </c>
      <c r="B373" t="s">
        <v>690</v>
      </c>
      <c r="C373" s="3">
        <v>43489</v>
      </c>
      <c r="D373" t="s">
        <v>1024</v>
      </c>
      <c r="E373">
        <v>39.99</v>
      </c>
      <c r="F373" t="s">
        <v>1189</v>
      </c>
      <c r="G373">
        <v>44</v>
      </c>
      <c r="H373" t="s">
        <v>1233</v>
      </c>
      <c r="I373" t="s">
        <v>1233</v>
      </c>
      <c r="J373">
        <v>2934</v>
      </c>
      <c r="K373">
        <v>9</v>
      </c>
      <c r="L373" t="s">
        <v>2077</v>
      </c>
      <c r="M373">
        <v>76762</v>
      </c>
      <c r="N373">
        <v>2489</v>
      </c>
      <c r="O373">
        <v>79251</v>
      </c>
      <c r="P373" t="s">
        <v>2883</v>
      </c>
    </row>
    <row r="374" spans="1:16" x14ac:dyDescent="0.25">
      <c r="A374" t="s">
        <v>1096</v>
      </c>
      <c r="B374" t="s">
        <v>561</v>
      </c>
      <c r="C374" s="3">
        <v>43745</v>
      </c>
      <c r="D374" t="s">
        <v>1024</v>
      </c>
      <c r="E374">
        <v>34.99</v>
      </c>
      <c r="F374" t="s">
        <v>1026</v>
      </c>
      <c r="H374" t="s">
        <v>1097</v>
      </c>
      <c r="I374" t="s">
        <v>1097</v>
      </c>
      <c r="J374">
        <v>2921</v>
      </c>
      <c r="K374">
        <v>8</v>
      </c>
      <c r="L374" t="s">
        <v>1022</v>
      </c>
      <c r="M374">
        <v>24982</v>
      </c>
      <c r="N374">
        <v>1479</v>
      </c>
      <c r="O374">
        <v>26461</v>
      </c>
      <c r="P374" t="s">
        <v>2883</v>
      </c>
    </row>
    <row r="375" spans="1:16" x14ac:dyDescent="0.25">
      <c r="A375" t="s">
        <v>1947</v>
      </c>
      <c r="B375" t="s">
        <v>70</v>
      </c>
      <c r="C375" s="3">
        <v>42818</v>
      </c>
      <c r="D375" t="s">
        <v>1024</v>
      </c>
      <c r="E375">
        <v>29.99</v>
      </c>
      <c r="F375" t="s">
        <v>1047</v>
      </c>
      <c r="G375">
        <v>101</v>
      </c>
      <c r="H375" t="s">
        <v>1376</v>
      </c>
      <c r="I375" t="s">
        <v>1254</v>
      </c>
      <c r="J375">
        <v>2912</v>
      </c>
      <c r="K375">
        <v>8</v>
      </c>
      <c r="L375" t="s">
        <v>1022</v>
      </c>
      <c r="M375">
        <v>14963</v>
      </c>
      <c r="N375">
        <v>1792</v>
      </c>
      <c r="O375">
        <v>16755</v>
      </c>
      <c r="P375" t="s">
        <v>2883</v>
      </c>
    </row>
    <row r="376" spans="1:16" x14ac:dyDescent="0.25">
      <c r="A376" t="s">
        <v>1359</v>
      </c>
      <c r="B376" t="s">
        <v>186</v>
      </c>
      <c r="C376" s="3">
        <v>43243</v>
      </c>
      <c r="D376" t="s">
        <v>1024</v>
      </c>
      <c r="E376">
        <v>39.99</v>
      </c>
      <c r="F376" t="s">
        <v>1189</v>
      </c>
      <c r="G376">
        <v>41</v>
      </c>
      <c r="H376" t="s">
        <v>1323</v>
      </c>
      <c r="I376" t="s">
        <v>1304</v>
      </c>
      <c r="J376">
        <v>2909</v>
      </c>
      <c r="K376">
        <v>8</v>
      </c>
      <c r="L376" t="s">
        <v>1022</v>
      </c>
      <c r="M376">
        <v>62625</v>
      </c>
      <c r="N376">
        <v>5233</v>
      </c>
      <c r="O376">
        <v>67858</v>
      </c>
      <c r="P376" t="s">
        <v>2883</v>
      </c>
    </row>
    <row r="377" spans="1:16" x14ac:dyDescent="0.25">
      <c r="A377" t="s">
        <v>2640</v>
      </c>
      <c r="B377" t="s">
        <v>363</v>
      </c>
      <c r="C377" s="3">
        <v>45785</v>
      </c>
      <c r="D377" t="s">
        <v>1019</v>
      </c>
      <c r="F377" t="s">
        <v>1026</v>
      </c>
      <c r="G377">
        <v>45</v>
      </c>
      <c r="H377" t="s">
        <v>2641</v>
      </c>
      <c r="I377" t="s">
        <v>2641</v>
      </c>
      <c r="J377">
        <v>2909</v>
      </c>
      <c r="K377">
        <v>5</v>
      </c>
      <c r="L377" t="s">
        <v>2514</v>
      </c>
      <c r="M377">
        <v>4905</v>
      </c>
      <c r="N377">
        <v>3224</v>
      </c>
      <c r="O377">
        <v>8129</v>
      </c>
      <c r="P377" t="s">
        <v>2882</v>
      </c>
    </row>
    <row r="378" spans="1:16" x14ac:dyDescent="0.25">
      <c r="A378" t="s">
        <v>1357</v>
      </c>
      <c r="B378" t="s">
        <v>202</v>
      </c>
      <c r="C378" s="3">
        <v>46100</v>
      </c>
      <c r="D378" t="s">
        <v>1024</v>
      </c>
      <c r="E378">
        <v>69.989999999999995</v>
      </c>
      <c r="F378" t="s">
        <v>1113</v>
      </c>
      <c r="G378">
        <v>55</v>
      </c>
      <c r="H378" t="s">
        <v>1358</v>
      </c>
      <c r="I378" t="s">
        <v>1223</v>
      </c>
      <c r="J378">
        <v>2903</v>
      </c>
      <c r="K378">
        <v>8</v>
      </c>
      <c r="L378" t="s">
        <v>1022</v>
      </c>
      <c r="M378">
        <v>7359</v>
      </c>
      <c r="N378">
        <v>404</v>
      </c>
      <c r="O378">
        <v>7763</v>
      </c>
      <c r="P378" t="s">
        <v>2883</v>
      </c>
    </row>
    <row r="379" spans="1:16" x14ac:dyDescent="0.25">
      <c r="A379" t="s">
        <v>2398</v>
      </c>
      <c r="B379" t="s">
        <v>320</v>
      </c>
      <c r="C379" s="3">
        <v>45946</v>
      </c>
      <c r="D379" t="s">
        <v>1024</v>
      </c>
      <c r="E379">
        <v>24.99</v>
      </c>
      <c r="F379" t="s">
        <v>1026</v>
      </c>
      <c r="H379" t="s">
        <v>2399</v>
      </c>
      <c r="I379" t="s">
        <v>1040</v>
      </c>
      <c r="J379">
        <v>2893</v>
      </c>
      <c r="K379">
        <v>6</v>
      </c>
      <c r="L379" t="s">
        <v>2338</v>
      </c>
      <c r="M379">
        <v>8558</v>
      </c>
      <c r="N379">
        <v>2423</v>
      </c>
      <c r="O379">
        <v>10981</v>
      </c>
      <c r="P379" t="s">
        <v>2883</v>
      </c>
    </row>
    <row r="380" spans="1:16" x14ac:dyDescent="0.25">
      <c r="A380" t="s">
        <v>2773</v>
      </c>
      <c r="B380" t="s">
        <v>447</v>
      </c>
      <c r="C380" s="3">
        <v>45775</v>
      </c>
      <c r="D380" t="s">
        <v>1019</v>
      </c>
      <c r="F380" t="s">
        <v>1020</v>
      </c>
      <c r="G380">
        <v>34</v>
      </c>
      <c r="H380" t="s">
        <v>2774</v>
      </c>
      <c r="I380" t="s">
        <v>2774</v>
      </c>
      <c r="J380">
        <v>2831</v>
      </c>
      <c r="K380">
        <v>5</v>
      </c>
      <c r="L380" t="s">
        <v>2514</v>
      </c>
      <c r="M380">
        <v>2922</v>
      </c>
      <c r="N380">
        <v>2363</v>
      </c>
      <c r="O380">
        <v>5285</v>
      </c>
      <c r="P380" t="s">
        <v>2882</v>
      </c>
    </row>
    <row r="381" spans="1:16" x14ac:dyDescent="0.25">
      <c r="A381" t="s">
        <v>1098</v>
      </c>
      <c r="B381" t="s">
        <v>127</v>
      </c>
      <c r="C381" s="3">
        <v>44712</v>
      </c>
      <c r="D381" t="s">
        <v>1024</v>
      </c>
      <c r="E381">
        <v>34.99</v>
      </c>
      <c r="F381" t="s">
        <v>1026</v>
      </c>
      <c r="H381" t="s">
        <v>1099</v>
      </c>
      <c r="I381" t="s">
        <v>1099</v>
      </c>
      <c r="J381">
        <v>2830</v>
      </c>
      <c r="K381">
        <v>8</v>
      </c>
      <c r="L381" t="s">
        <v>1022</v>
      </c>
      <c r="M381">
        <v>5236</v>
      </c>
      <c r="N381">
        <v>710</v>
      </c>
      <c r="O381">
        <v>5946</v>
      </c>
      <c r="P381" t="s">
        <v>2883</v>
      </c>
    </row>
    <row r="382" spans="1:16" x14ac:dyDescent="0.25">
      <c r="A382" t="s">
        <v>2190</v>
      </c>
      <c r="B382" t="s">
        <v>589</v>
      </c>
      <c r="C382" s="3">
        <v>44119</v>
      </c>
      <c r="D382" t="s">
        <v>1024</v>
      </c>
      <c r="E382">
        <v>19.989999999999998</v>
      </c>
      <c r="F382" t="s">
        <v>1110</v>
      </c>
      <c r="G382">
        <v>14</v>
      </c>
      <c r="H382" t="s">
        <v>2191</v>
      </c>
      <c r="I382" t="s">
        <v>2191</v>
      </c>
      <c r="J382">
        <v>2830</v>
      </c>
      <c r="K382">
        <v>9</v>
      </c>
      <c r="L382" t="s">
        <v>2077</v>
      </c>
      <c r="M382">
        <v>49450</v>
      </c>
      <c r="N382">
        <v>2318</v>
      </c>
      <c r="O382">
        <v>51768</v>
      </c>
      <c r="P382" t="s">
        <v>2883</v>
      </c>
    </row>
    <row r="383" spans="1:16" x14ac:dyDescent="0.25">
      <c r="A383" t="s">
        <v>2642</v>
      </c>
      <c r="B383" t="s">
        <v>942</v>
      </c>
      <c r="C383" s="3">
        <v>45758</v>
      </c>
      <c r="D383" t="s">
        <v>1019</v>
      </c>
      <c r="F383" t="s">
        <v>1067</v>
      </c>
      <c r="G383">
        <v>10</v>
      </c>
      <c r="H383" t="s">
        <v>2643</v>
      </c>
      <c r="I383" t="s">
        <v>2643</v>
      </c>
      <c r="J383">
        <v>2817</v>
      </c>
      <c r="K383">
        <v>6</v>
      </c>
      <c r="L383" t="s">
        <v>2338</v>
      </c>
      <c r="M383">
        <v>290</v>
      </c>
      <c r="N383">
        <v>83</v>
      </c>
      <c r="O383">
        <v>373</v>
      </c>
      <c r="P383" t="s">
        <v>2882</v>
      </c>
    </row>
    <row r="384" spans="1:16" x14ac:dyDescent="0.25">
      <c r="A384" t="s">
        <v>1949</v>
      </c>
      <c r="B384" t="s">
        <v>9</v>
      </c>
      <c r="C384" s="3">
        <v>45268</v>
      </c>
      <c r="D384" t="s">
        <v>1024</v>
      </c>
      <c r="E384">
        <v>29.99</v>
      </c>
      <c r="F384" t="s">
        <v>1047</v>
      </c>
      <c r="G384">
        <v>80</v>
      </c>
      <c r="H384" t="s">
        <v>1950</v>
      </c>
      <c r="I384" t="s">
        <v>1254</v>
      </c>
      <c r="J384">
        <v>2814</v>
      </c>
      <c r="K384">
        <v>8</v>
      </c>
      <c r="L384" t="s">
        <v>1022</v>
      </c>
      <c r="M384">
        <v>19854</v>
      </c>
      <c r="N384">
        <v>1092</v>
      </c>
      <c r="O384">
        <v>20946</v>
      </c>
      <c r="P384" t="s">
        <v>2883</v>
      </c>
    </row>
    <row r="385" spans="1:16" x14ac:dyDescent="0.25">
      <c r="A385" t="s">
        <v>1946</v>
      </c>
      <c r="B385" t="s">
        <v>908</v>
      </c>
      <c r="C385" s="3">
        <v>43608</v>
      </c>
      <c r="D385" t="s">
        <v>1024</v>
      </c>
      <c r="E385">
        <v>39.99</v>
      </c>
      <c r="F385" t="s">
        <v>1047</v>
      </c>
      <c r="G385">
        <v>99</v>
      </c>
      <c r="H385" t="s">
        <v>1644</v>
      </c>
      <c r="I385" t="s">
        <v>1555</v>
      </c>
      <c r="J385">
        <v>2813</v>
      </c>
      <c r="K385">
        <v>8</v>
      </c>
      <c r="L385" t="s">
        <v>1022</v>
      </c>
      <c r="M385">
        <v>19391</v>
      </c>
      <c r="N385">
        <v>3646</v>
      </c>
      <c r="O385">
        <v>23037</v>
      </c>
      <c r="P385" t="s">
        <v>2883</v>
      </c>
    </row>
    <row r="386" spans="1:16" x14ac:dyDescent="0.25">
      <c r="A386" t="s">
        <v>1951</v>
      </c>
      <c r="B386" t="s">
        <v>16</v>
      </c>
      <c r="C386" s="3">
        <v>45048</v>
      </c>
      <c r="D386" t="s">
        <v>1024</v>
      </c>
      <c r="E386">
        <v>49.99</v>
      </c>
      <c r="F386" t="s">
        <v>1047</v>
      </c>
      <c r="G386">
        <v>114</v>
      </c>
      <c r="H386" t="s">
        <v>1952</v>
      </c>
      <c r="I386" t="s">
        <v>1846</v>
      </c>
      <c r="J386">
        <v>2797</v>
      </c>
      <c r="K386">
        <v>8</v>
      </c>
      <c r="L386" t="s">
        <v>1022</v>
      </c>
      <c r="M386">
        <v>11362</v>
      </c>
      <c r="N386">
        <v>2518</v>
      </c>
      <c r="O386">
        <v>13880</v>
      </c>
      <c r="P386" t="s">
        <v>2883</v>
      </c>
    </row>
    <row r="387" spans="1:16" x14ac:dyDescent="0.25">
      <c r="A387" t="s">
        <v>1831</v>
      </c>
      <c r="B387" t="s">
        <v>713</v>
      </c>
      <c r="C387" s="3">
        <v>44118</v>
      </c>
      <c r="D387" t="s">
        <v>1019</v>
      </c>
      <c r="F387" t="s">
        <v>1020</v>
      </c>
      <c r="G387">
        <v>20</v>
      </c>
      <c r="H387" t="s">
        <v>1275</v>
      </c>
      <c r="I387" t="s">
        <v>1275</v>
      </c>
      <c r="J387">
        <v>2749</v>
      </c>
      <c r="K387">
        <v>8</v>
      </c>
      <c r="L387" t="s">
        <v>1022</v>
      </c>
      <c r="M387">
        <v>17692</v>
      </c>
      <c r="N387">
        <v>3999</v>
      </c>
      <c r="O387">
        <v>21691</v>
      </c>
      <c r="P387" t="s">
        <v>2882</v>
      </c>
    </row>
    <row r="388" spans="1:16" x14ac:dyDescent="0.25">
      <c r="A388" t="s">
        <v>1702</v>
      </c>
      <c r="B388" t="s">
        <v>325</v>
      </c>
      <c r="C388" s="3">
        <v>44729</v>
      </c>
      <c r="D388" t="s">
        <v>1024</v>
      </c>
      <c r="E388">
        <v>39.99</v>
      </c>
      <c r="F388" t="s">
        <v>1042</v>
      </c>
      <c r="G388">
        <v>63</v>
      </c>
      <c r="H388" t="s">
        <v>1043</v>
      </c>
      <c r="I388" t="s">
        <v>1043</v>
      </c>
      <c r="J388">
        <v>2745</v>
      </c>
      <c r="K388">
        <v>8</v>
      </c>
      <c r="L388" t="s">
        <v>1022</v>
      </c>
      <c r="M388">
        <v>20348</v>
      </c>
      <c r="N388">
        <v>3169</v>
      </c>
      <c r="O388">
        <v>23517</v>
      </c>
      <c r="P388" t="s">
        <v>2883</v>
      </c>
    </row>
    <row r="389" spans="1:16" x14ac:dyDescent="0.25">
      <c r="A389" t="s">
        <v>1955</v>
      </c>
      <c r="B389" t="s">
        <v>154</v>
      </c>
      <c r="C389" s="3">
        <v>41450</v>
      </c>
      <c r="D389" t="s">
        <v>1024</v>
      </c>
      <c r="E389">
        <v>19.989999999999998</v>
      </c>
      <c r="F389" t="s">
        <v>1047</v>
      </c>
      <c r="G389">
        <v>452</v>
      </c>
      <c r="H389" t="s">
        <v>1956</v>
      </c>
      <c r="I389" t="s">
        <v>1956</v>
      </c>
      <c r="J389">
        <v>2732</v>
      </c>
      <c r="K389">
        <v>8</v>
      </c>
      <c r="L389" t="s">
        <v>1022</v>
      </c>
      <c r="M389">
        <v>36354</v>
      </c>
      <c r="N389">
        <v>7567</v>
      </c>
      <c r="O389">
        <v>43921</v>
      </c>
      <c r="P389" t="s">
        <v>2883</v>
      </c>
    </row>
    <row r="390" spans="1:16" x14ac:dyDescent="0.25">
      <c r="A390" t="s">
        <v>1362</v>
      </c>
      <c r="B390" t="s">
        <v>470</v>
      </c>
      <c r="C390" s="3">
        <v>43193</v>
      </c>
      <c r="D390" t="s">
        <v>1024</v>
      </c>
      <c r="E390">
        <v>9.99</v>
      </c>
      <c r="F390" t="s">
        <v>1110</v>
      </c>
      <c r="G390">
        <v>1</v>
      </c>
      <c r="H390" t="s">
        <v>1363</v>
      </c>
      <c r="I390" t="s">
        <v>1363</v>
      </c>
      <c r="J390">
        <v>2722</v>
      </c>
      <c r="K390">
        <v>8</v>
      </c>
      <c r="L390" t="s">
        <v>1022</v>
      </c>
      <c r="M390">
        <v>23293</v>
      </c>
      <c r="N390">
        <v>1542</v>
      </c>
      <c r="O390">
        <v>24835</v>
      </c>
      <c r="P390" t="s">
        <v>2883</v>
      </c>
    </row>
    <row r="391" spans="1:16" x14ac:dyDescent="0.25">
      <c r="A391" t="s">
        <v>1366</v>
      </c>
      <c r="B391" t="s">
        <v>356</v>
      </c>
      <c r="C391" s="3">
        <v>46219</v>
      </c>
      <c r="D391" t="s">
        <v>1024</v>
      </c>
      <c r="E391">
        <v>14.99</v>
      </c>
      <c r="F391" t="s">
        <v>1026</v>
      </c>
      <c r="G391">
        <v>35</v>
      </c>
      <c r="H391" t="s">
        <v>1367</v>
      </c>
      <c r="I391" t="s">
        <v>1367</v>
      </c>
      <c r="J391">
        <v>2716</v>
      </c>
      <c r="K391">
        <v>8</v>
      </c>
      <c r="L391" t="s">
        <v>1022</v>
      </c>
      <c r="M391">
        <v>723</v>
      </c>
      <c r="N391">
        <v>123</v>
      </c>
      <c r="O391">
        <v>846</v>
      </c>
      <c r="P391" t="s">
        <v>2883</v>
      </c>
    </row>
    <row r="392" spans="1:16" x14ac:dyDescent="0.25">
      <c r="A392" t="s">
        <v>1953</v>
      </c>
      <c r="B392" t="s">
        <v>187</v>
      </c>
      <c r="C392" s="3">
        <v>42388</v>
      </c>
      <c r="D392" t="s">
        <v>1024</v>
      </c>
      <c r="E392">
        <v>24.99</v>
      </c>
      <c r="F392" t="s">
        <v>1047</v>
      </c>
      <c r="G392">
        <v>120</v>
      </c>
      <c r="H392" t="s">
        <v>1954</v>
      </c>
      <c r="I392" t="s">
        <v>1954</v>
      </c>
      <c r="J392">
        <v>2707</v>
      </c>
      <c r="K392">
        <v>8</v>
      </c>
      <c r="L392" t="s">
        <v>1022</v>
      </c>
      <c r="M392">
        <v>59061</v>
      </c>
      <c r="N392">
        <v>5972</v>
      </c>
      <c r="O392">
        <v>65033</v>
      </c>
      <c r="P392" t="s">
        <v>2883</v>
      </c>
    </row>
    <row r="393" spans="1:16" x14ac:dyDescent="0.25">
      <c r="A393" t="s">
        <v>1364</v>
      </c>
      <c r="B393" t="s">
        <v>858</v>
      </c>
      <c r="C393" s="3">
        <v>45750</v>
      </c>
      <c r="D393" t="s">
        <v>1024</v>
      </c>
      <c r="E393">
        <v>49.99</v>
      </c>
      <c r="F393" t="s">
        <v>1113</v>
      </c>
      <c r="G393">
        <v>45</v>
      </c>
      <c r="H393" t="s">
        <v>1365</v>
      </c>
      <c r="I393" t="s">
        <v>1223</v>
      </c>
      <c r="J393">
        <v>2701</v>
      </c>
      <c r="K393">
        <v>8</v>
      </c>
      <c r="L393" t="s">
        <v>1022</v>
      </c>
      <c r="M393">
        <v>17566</v>
      </c>
      <c r="N393">
        <v>1736</v>
      </c>
      <c r="O393">
        <v>19302</v>
      </c>
      <c r="P393" t="s">
        <v>2883</v>
      </c>
    </row>
    <row r="394" spans="1:16" x14ac:dyDescent="0.25">
      <c r="A394" t="s">
        <v>2400</v>
      </c>
      <c r="B394" t="s">
        <v>76</v>
      </c>
      <c r="C394" s="3">
        <v>44126</v>
      </c>
      <c r="D394" t="s">
        <v>1024</v>
      </c>
      <c r="E394">
        <v>49.99</v>
      </c>
      <c r="F394" t="s">
        <v>1189</v>
      </c>
      <c r="G394">
        <v>21</v>
      </c>
      <c r="H394" t="s">
        <v>1277</v>
      </c>
      <c r="I394" t="s">
        <v>1035</v>
      </c>
      <c r="J394">
        <v>2701</v>
      </c>
      <c r="K394">
        <v>6</v>
      </c>
      <c r="L394" t="s">
        <v>2338</v>
      </c>
      <c r="M394">
        <v>30298</v>
      </c>
      <c r="N394">
        <v>12498</v>
      </c>
      <c r="O394">
        <v>42796</v>
      </c>
      <c r="P394" t="s">
        <v>2883</v>
      </c>
    </row>
    <row r="395" spans="1:16" x14ac:dyDescent="0.25">
      <c r="A395" t="s">
        <v>2644</v>
      </c>
      <c r="B395" t="s">
        <v>654</v>
      </c>
      <c r="C395" s="3">
        <v>45670</v>
      </c>
      <c r="D395" t="s">
        <v>1019</v>
      </c>
      <c r="F395" t="s">
        <v>2892</v>
      </c>
      <c r="G395">
        <v>36</v>
      </c>
      <c r="H395" t="s">
        <v>2645</v>
      </c>
      <c r="I395" t="s">
        <v>2645</v>
      </c>
      <c r="J395">
        <v>2692</v>
      </c>
      <c r="K395">
        <v>6</v>
      </c>
      <c r="L395" t="s">
        <v>2338</v>
      </c>
      <c r="M395">
        <v>524</v>
      </c>
      <c r="N395">
        <v>177</v>
      </c>
      <c r="O395">
        <v>701</v>
      </c>
      <c r="P395" t="s">
        <v>2882</v>
      </c>
    </row>
    <row r="396" spans="1:16" x14ac:dyDescent="0.25">
      <c r="A396" t="s">
        <v>2401</v>
      </c>
      <c r="B396" t="s">
        <v>26</v>
      </c>
      <c r="C396" s="3">
        <v>43571</v>
      </c>
      <c r="D396" t="s">
        <v>1024</v>
      </c>
      <c r="E396">
        <v>59.99</v>
      </c>
      <c r="F396" t="s">
        <v>1047</v>
      </c>
      <c r="G396">
        <v>112</v>
      </c>
      <c r="H396" t="s">
        <v>2402</v>
      </c>
      <c r="I396" t="s">
        <v>1212</v>
      </c>
      <c r="J396">
        <v>2692</v>
      </c>
      <c r="K396">
        <v>6</v>
      </c>
      <c r="L396" t="s">
        <v>2338</v>
      </c>
      <c r="M396">
        <v>9940</v>
      </c>
      <c r="N396">
        <v>2724</v>
      </c>
      <c r="O396">
        <v>12664</v>
      </c>
      <c r="P396" t="s">
        <v>2883</v>
      </c>
    </row>
    <row r="397" spans="1:16" x14ac:dyDescent="0.25">
      <c r="A397" t="s">
        <v>1834</v>
      </c>
      <c r="B397" t="s">
        <v>340</v>
      </c>
      <c r="C397" s="3">
        <v>44873</v>
      </c>
      <c r="D397" t="s">
        <v>1024</v>
      </c>
      <c r="F397" t="s">
        <v>1086</v>
      </c>
      <c r="G397">
        <v>100</v>
      </c>
      <c r="H397" t="s">
        <v>1835</v>
      </c>
      <c r="I397" t="s">
        <v>1555</v>
      </c>
      <c r="J397">
        <v>2687</v>
      </c>
      <c r="K397">
        <v>8</v>
      </c>
      <c r="L397" t="s">
        <v>1022</v>
      </c>
      <c r="M397">
        <v>6986</v>
      </c>
      <c r="N397">
        <v>898</v>
      </c>
      <c r="O397">
        <v>7884</v>
      </c>
      <c r="P397" t="s">
        <v>2883</v>
      </c>
    </row>
    <row r="398" spans="1:16" x14ac:dyDescent="0.25">
      <c r="A398" t="s">
        <v>1360</v>
      </c>
      <c r="B398" t="s">
        <v>139</v>
      </c>
      <c r="C398" s="3">
        <v>45462</v>
      </c>
      <c r="D398" t="s">
        <v>1024</v>
      </c>
      <c r="E398">
        <v>4.99</v>
      </c>
      <c r="F398" t="s">
        <v>1110</v>
      </c>
      <c r="G398">
        <v>16</v>
      </c>
      <c r="H398" t="s">
        <v>1361</v>
      </c>
      <c r="I398" t="s">
        <v>1251</v>
      </c>
      <c r="J398">
        <v>2667</v>
      </c>
      <c r="K398">
        <v>8</v>
      </c>
      <c r="L398" t="s">
        <v>1022</v>
      </c>
      <c r="M398">
        <v>21881</v>
      </c>
      <c r="N398">
        <v>2175</v>
      </c>
      <c r="O398">
        <v>24056</v>
      </c>
      <c r="P398" t="s">
        <v>2883</v>
      </c>
    </row>
    <row r="399" spans="1:16" x14ac:dyDescent="0.25">
      <c r="A399" t="s">
        <v>1368</v>
      </c>
      <c r="B399" t="s">
        <v>430</v>
      </c>
      <c r="C399" s="3">
        <v>43237</v>
      </c>
      <c r="D399" t="s">
        <v>1024</v>
      </c>
      <c r="E399">
        <v>24.99</v>
      </c>
      <c r="F399" t="s">
        <v>1020</v>
      </c>
      <c r="G399">
        <v>96</v>
      </c>
      <c r="H399" t="s">
        <v>1369</v>
      </c>
      <c r="I399" t="s">
        <v>1326</v>
      </c>
      <c r="J399">
        <v>2667</v>
      </c>
      <c r="K399">
        <v>8</v>
      </c>
      <c r="L399" t="s">
        <v>1022</v>
      </c>
      <c r="M399">
        <v>50036</v>
      </c>
      <c r="N399">
        <v>3067</v>
      </c>
      <c r="O399">
        <v>53103</v>
      </c>
      <c r="P399" t="s">
        <v>2883</v>
      </c>
    </row>
    <row r="400" spans="1:16" x14ac:dyDescent="0.25">
      <c r="A400" t="s">
        <v>1957</v>
      </c>
      <c r="B400" t="s">
        <v>901</v>
      </c>
      <c r="C400" s="3">
        <v>42052</v>
      </c>
      <c r="D400" t="s">
        <v>1024</v>
      </c>
      <c r="E400">
        <v>44.99</v>
      </c>
      <c r="F400" t="s">
        <v>1047</v>
      </c>
      <c r="G400">
        <v>118</v>
      </c>
      <c r="H400" t="s">
        <v>1644</v>
      </c>
      <c r="I400" t="s">
        <v>1555</v>
      </c>
      <c r="J400">
        <v>2625</v>
      </c>
      <c r="K400">
        <v>8</v>
      </c>
      <c r="L400" t="s">
        <v>1022</v>
      </c>
      <c r="M400">
        <v>14708</v>
      </c>
      <c r="N400">
        <v>3666</v>
      </c>
      <c r="O400">
        <v>18374</v>
      </c>
      <c r="P400" t="s">
        <v>2883</v>
      </c>
    </row>
    <row r="401" spans="1:16" x14ac:dyDescent="0.25">
      <c r="A401" t="s">
        <v>1832</v>
      </c>
      <c r="B401" t="s">
        <v>988</v>
      </c>
      <c r="C401" s="3">
        <v>44290</v>
      </c>
      <c r="D401" t="s">
        <v>1019</v>
      </c>
      <c r="F401" t="s">
        <v>1020</v>
      </c>
      <c r="G401">
        <v>65</v>
      </c>
      <c r="H401" t="s">
        <v>1833</v>
      </c>
      <c r="I401" t="s">
        <v>1833</v>
      </c>
      <c r="J401">
        <v>2618</v>
      </c>
      <c r="K401">
        <v>8</v>
      </c>
      <c r="L401" t="s">
        <v>1022</v>
      </c>
      <c r="M401">
        <v>1180</v>
      </c>
      <c r="N401">
        <v>292</v>
      </c>
      <c r="O401">
        <v>1472</v>
      </c>
      <c r="P401" t="s">
        <v>2882</v>
      </c>
    </row>
    <row r="402" spans="1:16" x14ac:dyDescent="0.25">
      <c r="A402" t="s">
        <v>1703</v>
      </c>
      <c r="B402" t="s">
        <v>955</v>
      </c>
      <c r="C402" s="3">
        <v>43167</v>
      </c>
      <c r="D402" t="s">
        <v>1024</v>
      </c>
      <c r="E402">
        <v>29.99</v>
      </c>
      <c r="F402" t="s">
        <v>1042</v>
      </c>
      <c r="G402">
        <v>26</v>
      </c>
      <c r="H402" t="s">
        <v>1704</v>
      </c>
      <c r="I402" t="s">
        <v>1704</v>
      </c>
      <c r="J402">
        <v>2609</v>
      </c>
      <c r="K402">
        <v>8</v>
      </c>
      <c r="L402" t="s">
        <v>1022</v>
      </c>
      <c r="M402">
        <v>61700</v>
      </c>
      <c r="N402">
        <v>7123</v>
      </c>
      <c r="O402">
        <v>68823</v>
      </c>
      <c r="P402" t="s">
        <v>2883</v>
      </c>
    </row>
    <row r="403" spans="1:16" x14ac:dyDescent="0.25">
      <c r="A403" t="s">
        <v>2778</v>
      </c>
      <c r="B403" t="s">
        <v>705</v>
      </c>
      <c r="C403" s="3">
        <v>43880</v>
      </c>
      <c r="D403" t="s">
        <v>1019</v>
      </c>
      <c r="F403" t="s">
        <v>1020</v>
      </c>
      <c r="G403">
        <v>55</v>
      </c>
      <c r="H403" t="s">
        <v>2779</v>
      </c>
      <c r="I403" t="s">
        <v>2779</v>
      </c>
      <c r="J403">
        <v>2603</v>
      </c>
      <c r="K403">
        <v>6</v>
      </c>
      <c r="L403" t="s">
        <v>2338</v>
      </c>
      <c r="M403">
        <v>16610</v>
      </c>
      <c r="N403">
        <v>4961</v>
      </c>
      <c r="O403">
        <v>21571</v>
      </c>
      <c r="P403" t="s">
        <v>2882</v>
      </c>
    </row>
    <row r="404" spans="1:16" x14ac:dyDescent="0.25">
      <c r="A404" t="s">
        <v>1373</v>
      </c>
      <c r="B404" t="s">
        <v>58</v>
      </c>
      <c r="C404" s="3">
        <v>44852</v>
      </c>
      <c r="D404" t="s">
        <v>1024</v>
      </c>
      <c r="E404">
        <v>9.99</v>
      </c>
      <c r="F404" t="s">
        <v>1026</v>
      </c>
      <c r="G404">
        <v>22</v>
      </c>
      <c r="H404" t="s">
        <v>1374</v>
      </c>
      <c r="I404" t="s">
        <v>1374</v>
      </c>
      <c r="J404">
        <v>2599</v>
      </c>
      <c r="K404">
        <v>8</v>
      </c>
      <c r="L404" t="s">
        <v>1022</v>
      </c>
      <c r="M404">
        <v>15386</v>
      </c>
      <c r="N404">
        <v>1771</v>
      </c>
      <c r="O404">
        <v>17157</v>
      </c>
      <c r="P404" t="s">
        <v>2883</v>
      </c>
    </row>
    <row r="405" spans="1:16" x14ac:dyDescent="0.25">
      <c r="A405" t="s">
        <v>1370</v>
      </c>
      <c r="B405" t="s">
        <v>68</v>
      </c>
      <c r="C405" s="3">
        <v>42178</v>
      </c>
      <c r="D405" t="s">
        <v>1024</v>
      </c>
      <c r="E405">
        <v>19.989999999999998</v>
      </c>
      <c r="F405" t="s">
        <v>1113</v>
      </c>
      <c r="G405">
        <v>113</v>
      </c>
      <c r="H405" t="s">
        <v>1371</v>
      </c>
      <c r="I405" t="s">
        <v>1372</v>
      </c>
      <c r="J405">
        <v>2597</v>
      </c>
      <c r="K405">
        <v>8</v>
      </c>
      <c r="L405" t="s">
        <v>1022</v>
      </c>
      <c r="M405">
        <v>65074</v>
      </c>
      <c r="N405">
        <v>9081</v>
      </c>
      <c r="O405">
        <v>74155</v>
      </c>
      <c r="P405" t="s">
        <v>2883</v>
      </c>
    </row>
    <row r="406" spans="1:16" x14ac:dyDescent="0.25">
      <c r="A406" t="s">
        <v>2403</v>
      </c>
      <c r="B406" t="s">
        <v>451</v>
      </c>
      <c r="C406" s="3">
        <v>45743</v>
      </c>
      <c r="D406" t="s">
        <v>1024</v>
      </c>
      <c r="E406">
        <v>39.99</v>
      </c>
      <c r="F406" t="s">
        <v>1026</v>
      </c>
      <c r="H406" t="s">
        <v>2404</v>
      </c>
      <c r="I406" t="s">
        <v>1547</v>
      </c>
      <c r="J406">
        <v>2592</v>
      </c>
      <c r="K406">
        <v>6</v>
      </c>
      <c r="L406" t="s">
        <v>2338</v>
      </c>
      <c r="M406">
        <v>11584</v>
      </c>
      <c r="N406">
        <v>3010</v>
      </c>
      <c r="O406">
        <v>14594</v>
      </c>
      <c r="P406" t="s">
        <v>2883</v>
      </c>
    </row>
    <row r="407" spans="1:16" x14ac:dyDescent="0.25">
      <c r="A407" t="s">
        <v>2775</v>
      </c>
      <c r="B407" t="s">
        <v>157</v>
      </c>
      <c r="C407" s="3">
        <v>43926</v>
      </c>
      <c r="D407" t="s">
        <v>1019</v>
      </c>
      <c r="F407" t="s">
        <v>1020</v>
      </c>
      <c r="G407">
        <v>48</v>
      </c>
      <c r="H407" t="s">
        <v>2776</v>
      </c>
      <c r="I407" t="s">
        <v>2777</v>
      </c>
      <c r="J407">
        <v>2569</v>
      </c>
      <c r="K407">
        <v>6</v>
      </c>
      <c r="L407" t="s">
        <v>2338</v>
      </c>
      <c r="M407">
        <v>4983</v>
      </c>
      <c r="N407">
        <v>1847</v>
      </c>
      <c r="O407">
        <v>6830</v>
      </c>
      <c r="P407" t="s">
        <v>2882</v>
      </c>
    </row>
    <row r="408" spans="1:16" x14ac:dyDescent="0.25">
      <c r="A408" t="s">
        <v>1375</v>
      </c>
      <c r="B408" t="s">
        <v>524</v>
      </c>
      <c r="C408" s="3">
        <v>46058</v>
      </c>
      <c r="D408" t="s">
        <v>1024</v>
      </c>
      <c r="E408">
        <v>39.99</v>
      </c>
      <c r="F408" t="s">
        <v>1026</v>
      </c>
      <c r="G408">
        <v>15</v>
      </c>
      <c r="H408" t="s">
        <v>1376</v>
      </c>
      <c r="I408" t="s">
        <v>1254</v>
      </c>
      <c r="J408">
        <v>2521</v>
      </c>
      <c r="K408">
        <v>8</v>
      </c>
      <c r="L408" t="s">
        <v>1022</v>
      </c>
      <c r="M408">
        <v>7743</v>
      </c>
      <c r="N408">
        <v>689</v>
      </c>
      <c r="O408">
        <v>8432</v>
      </c>
      <c r="P408" t="s">
        <v>2883</v>
      </c>
    </row>
    <row r="409" spans="1:16" x14ac:dyDescent="0.25">
      <c r="A409" t="s">
        <v>2192</v>
      </c>
      <c r="B409" t="s">
        <v>912</v>
      </c>
      <c r="C409" s="3">
        <v>44287</v>
      </c>
      <c r="D409" t="s">
        <v>1024</v>
      </c>
      <c r="E409">
        <v>19.989999999999998</v>
      </c>
      <c r="F409" t="s">
        <v>1047</v>
      </c>
      <c r="G409">
        <v>64</v>
      </c>
      <c r="H409" t="s">
        <v>2193</v>
      </c>
      <c r="I409" t="s">
        <v>2193</v>
      </c>
      <c r="J409">
        <v>2515</v>
      </c>
      <c r="K409">
        <v>9</v>
      </c>
      <c r="L409" t="s">
        <v>2077</v>
      </c>
      <c r="M409">
        <v>87213</v>
      </c>
      <c r="N409">
        <v>1736</v>
      </c>
      <c r="O409">
        <v>88949</v>
      </c>
      <c r="P409" t="s">
        <v>2883</v>
      </c>
    </row>
    <row r="410" spans="1:16" x14ac:dyDescent="0.25">
      <c r="A410" t="s">
        <v>1100</v>
      </c>
      <c r="B410" t="s">
        <v>773</v>
      </c>
      <c r="C410" s="3">
        <v>43011</v>
      </c>
      <c r="D410" t="s">
        <v>1019</v>
      </c>
      <c r="F410" t="s">
        <v>1067</v>
      </c>
      <c r="H410" t="s">
        <v>1101</v>
      </c>
      <c r="I410" t="s">
        <v>1101</v>
      </c>
      <c r="J410">
        <v>2508</v>
      </c>
      <c r="K410">
        <v>8</v>
      </c>
      <c r="L410" t="s">
        <v>1022</v>
      </c>
      <c r="M410">
        <v>142</v>
      </c>
      <c r="N410">
        <v>12</v>
      </c>
      <c r="O410">
        <v>154</v>
      </c>
      <c r="P410" t="s">
        <v>2882</v>
      </c>
    </row>
    <row r="411" spans="1:16" x14ac:dyDescent="0.25">
      <c r="A411" t="s">
        <v>1836</v>
      </c>
      <c r="B411" t="s">
        <v>907</v>
      </c>
      <c r="C411" s="3"/>
      <c r="D411" t="s">
        <v>1024</v>
      </c>
      <c r="F411" t="s">
        <v>2892</v>
      </c>
      <c r="G411">
        <v>106</v>
      </c>
      <c r="H411" t="s">
        <v>1837</v>
      </c>
      <c r="I411" t="s">
        <v>1555</v>
      </c>
      <c r="J411">
        <v>2506</v>
      </c>
      <c r="K411">
        <v>8</v>
      </c>
      <c r="L411" t="s">
        <v>1022</v>
      </c>
      <c r="M411">
        <v>32617</v>
      </c>
      <c r="N411">
        <v>2647</v>
      </c>
      <c r="O411">
        <v>35264</v>
      </c>
      <c r="P411" t="s">
        <v>2883</v>
      </c>
    </row>
    <row r="412" spans="1:16" x14ac:dyDescent="0.25">
      <c r="A412" t="s">
        <v>1706</v>
      </c>
      <c r="B412" t="s">
        <v>467</v>
      </c>
      <c r="C412" s="3">
        <v>45456</v>
      </c>
      <c r="D412" t="s">
        <v>1024</v>
      </c>
      <c r="E412">
        <v>49.99</v>
      </c>
      <c r="F412" t="s">
        <v>1042</v>
      </c>
      <c r="G412">
        <v>197</v>
      </c>
      <c r="H412" t="s">
        <v>1043</v>
      </c>
      <c r="I412" t="s">
        <v>1043</v>
      </c>
      <c r="J412">
        <v>2500</v>
      </c>
      <c r="K412">
        <v>8</v>
      </c>
      <c r="L412" t="s">
        <v>1022</v>
      </c>
      <c r="M412">
        <v>7020</v>
      </c>
      <c r="N412">
        <v>1152</v>
      </c>
      <c r="O412">
        <v>8172</v>
      </c>
      <c r="P412" t="s">
        <v>2883</v>
      </c>
    </row>
    <row r="413" spans="1:16" x14ac:dyDescent="0.25">
      <c r="A413" t="s">
        <v>1385</v>
      </c>
      <c r="B413" t="s">
        <v>141</v>
      </c>
      <c r="C413" s="3">
        <v>44724</v>
      </c>
      <c r="D413" t="s">
        <v>1024</v>
      </c>
      <c r="E413">
        <v>39.99</v>
      </c>
      <c r="F413" t="s">
        <v>1268</v>
      </c>
      <c r="G413">
        <v>41</v>
      </c>
      <c r="H413" t="s">
        <v>1386</v>
      </c>
      <c r="I413" t="s">
        <v>1387</v>
      </c>
      <c r="J413">
        <v>2488</v>
      </c>
      <c r="K413">
        <v>8</v>
      </c>
      <c r="L413" t="s">
        <v>1022</v>
      </c>
      <c r="M413">
        <v>24106</v>
      </c>
      <c r="N413">
        <v>5997</v>
      </c>
      <c r="O413">
        <v>30103</v>
      </c>
      <c r="P413" t="s">
        <v>2883</v>
      </c>
    </row>
    <row r="414" spans="1:16" x14ac:dyDescent="0.25">
      <c r="A414" t="s">
        <v>1958</v>
      </c>
      <c r="B414" t="s">
        <v>861</v>
      </c>
      <c r="C414" s="3">
        <v>42948</v>
      </c>
      <c r="D414" t="s">
        <v>1024</v>
      </c>
      <c r="E414">
        <v>19.989999999999998</v>
      </c>
      <c r="F414" t="s">
        <v>1047</v>
      </c>
      <c r="G414">
        <v>87</v>
      </c>
      <c r="H414" t="s">
        <v>1959</v>
      </c>
      <c r="I414" t="s">
        <v>1959</v>
      </c>
      <c r="J414">
        <v>2484</v>
      </c>
      <c r="K414">
        <v>8</v>
      </c>
      <c r="L414" t="s">
        <v>1022</v>
      </c>
      <c r="M414">
        <v>40437</v>
      </c>
      <c r="N414">
        <v>5722</v>
      </c>
      <c r="O414">
        <v>46159</v>
      </c>
      <c r="P414" t="s">
        <v>2883</v>
      </c>
    </row>
    <row r="415" spans="1:16" x14ac:dyDescent="0.25">
      <c r="A415" t="s">
        <v>1380</v>
      </c>
      <c r="B415" t="s">
        <v>765</v>
      </c>
      <c r="C415" s="3">
        <v>46181</v>
      </c>
      <c r="D415" t="s">
        <v>1024</v>
      </c>
      <c r="E415">
        <v>22.99</v>
      </c>
      <c r="F415" t="s">
        <v>1110</v>
      </c>
      <c r="G415">
        <v>24</v>
      </c>
      <c r="H415" t="s">
        <v>1381</v>
      </c>
      <c r="I415" t="s">
        <v>1382</v>
      </c>
      <c r="J415">
        <v>2474</v>
      </c>
      <c r="K415">
        <v>8</v>
      </c>
      <c r="L415" t="s">
        <v>1022</v>
      </c>
      <c r="M415">
        <v>1463</v>
      </c>
      <c r="N415">
        <v>335</v>
      </c>
      <c r="O415">
        <v>1798</v>
      </c>
      <c r="P415" t="s">
        <v>2883</v>
      </c>
    </row>
    <row r="416" spans="1:16" x14ac:dyDescent="0.25">
      <c r="A416" t="s">
        <v>2194</v>
      </c>
      <c r="B416" t="s">
        <v>137</v>
      </c>
      <c r="C416" s="3">
        <v>43125</v>
      </c>
      <c r="D416" t="s">
        <v>1024</v>
      </c>
      <c r="E416">
        <v>19.989999999999998</v>
      </c>
      <c r="F416" t="s">
        <v>1208</v>
      </c>
      <c r="G416">
        <v>32</v>
      </c>
      <c r="H416" t="s">
        <v>2195</v>
      </c>
      <c r="I416" t="s">
        <v>2195</v>
      </c>
      <c r="J416">
        <v>2474</v>
      </c>
      <c r="K416">
        <v>9</v>
      </c>
      <c r="L416" t="s">
        <v>2077</v>
      </c>
      <c r="M416">
        <v>66001</v>
      </c>
      <c r="N416">
        <v>1792</v>
      </c>
      <c r="O416">
        <v>67793</v>
      </c>
      <c r="P416" t="s">
        <v>2883</v>
      </c>
    </row>
    <row r="417" spans="1:16" x14ac:dyDescent="0.25">
      <c r="A417" t="s">
        <v>1705</v>
      </c>
      <c r="B417" t="s">
        <v>256</v>
      </c>
      <c r="C417" s="3">
        <v>45918</v>
      </c>
      <c r="D417" t="s">
        <v>1024</v>
      </c>
      <c r="E417">
        <v>59.99</v>
      </c>
      <c r="F417" t="s">
        <v>1042</v>
      </c>
      <c r="G417">
        <v>42</v>
      </c>
      <c r="H417" t="s">
        <v>1690</v>
      </c>
      <c r="I417" t="s">
        <v>1690</v>
      </c>
      <c r="J417">
        <v>2469</v>
      </c>
      <c r="K417">
        <v>8</v>
      </c>
      <c r="L417" t="s">
        <v>1022</v>
      </c>
      <c r="M417">
        <v>25549</v>
      </c>
      <c r="N417">
        <v>3488</v>
      </c>
      <c r="O417">
        <v>29037</v>
      </c>
      <c r="P417" t="s">
        <v>2883</v>
      </c>
    </row>
    <row r="418" spans="1:16" x14ac:dyDescent="0.25">
      <c r="A418" t="s">
        <v>2196</v>
      </c>
      <c r="B418" t="s">
        <v>657</v>
      </c>
      <c r="C418" s="3">
        <v>40651</v>
      </c>
      <c r="D418" t="s">
        <v>1024</v>
      </c>
      <c r="E418">
        <v>9.99</v>
      </c>
      <c r="F418" t="s">
        <v>1113</v>
      </c>
      <c r="G418">
        <v>51</v>
      </c>
      <c r="H418" t="s">
        <v>1021</v>
      </c>
      <c r="I418" t="s">
        <v>1021</v>
      </c>
      <c r="J418">
        <v>2469</v>
      </c>
      <c r="K418">
        <v>9</v>
      </c>
      <c r="L418" t="s">
        <v>2077</v>
      </c>
      <c r="M418">
        <v>207343</v>
      </c>
      <c r="N418">
        <v>2441</v>
      </c>
      <c r="O418">
        <v>209784</v>
      </c>
      <c r="P418" t="s">
        <v>2883</v>
      </c>
    </row>
    <row r="419" spans="1:16" x14ac:dyDescent="0.25">
      <c r="A419" t="s">
        <v>2405</v>
      </c>
      <c r="B419" t="s">
        <v>648</v>
      </c>
      <c r="C419" s="3">
        <v>45602</v>
      </c>
      <c r="D419" t="s">
        <v>1024</v>
      </c>
      <c r="E419">
        <v>64.989999999999995</v>
      </c>
      <c r="F419" t="s">
        <v>1047</v>
      </c>
      <c r="G419">
        <v>36</v>
      </c>
      <c r="H419" t="s">
        <v>1915</v>
      </c>
      <c r="I419" t="s">
        <v>1915</v>
      </c>
      <c r="J419">
        <v>2459</v>
      </c>
      <c r="K419">
        <v>6</v>
      </c>
      <c r="L419" t="s">
        <v>2338</v>
      </c>
      <c r="M419">
        <v>6652</v>
      </c>
      <c r="N419">
        <v>2362</v>
      </c>
      <c r="O419">
        <v>9014</v>
      </c>
      <c r="P419" t="s">
        <v>2883</v>
      </c>
    </row>
    <row r="420" spans="1:16" x14ac:dyDescent="0.25">
      <c r="A420" t="s">
        <v>1383</v>
      </c>
      <c r="B420" t="s">
        <v>914</v>
      </c>
      <c r="C420" s="3">
        <v>43726</v>
      </c>
      <c r="D420" t="s">
        <v>1024</v>
      </c>
      <c r="E420">
        <v>24.99</v>
      </c>
      <c r="F420" t="s">
        <v>1110</v>
      </c>
      <c r="G420">
        <v>22</v>
      </c>
      <c r="H420" t="s">
        <v>1384</v>
      </c>
      <c r="I420" t="s">
        <v>1384</v>
      </c>
      <c r="J420">
        <v>2457</v>
      </c>
      <c r="K420">
        <v>8</v>
      </c>
      <c r="L420" t="s">
        <v>1022</v>
      </c>
      <c r="M420">
        <v>24091</v>
      </c>
      <c r="N420">
        <v>1952</v>
      </c>
      <c r="O420">
        <v>26043</v>
      </c>
      <c r="P420" t="s">
        <v>2883</v>
      </c>
    </row>
    <row r="421" spans="1:16" x14ac:dyDescent="0.25">
      <c r="A421" t="s">
        <v>1102</v>
      </c>
      <c r="B421" t="s">
        <v>587</v>
      </c>
      <c r="C421" s="3">
        <v>45400</v>
      </c>
      <c r="D421" t="s">
        <v>1024</v>
      </c>
      <c r="E421">
        <v>39.99</v>
      </c>
      <c r="F421" t="s">
        <v>1026</v>
      </c>
      <c r="H421" t="s">
        <v>1103</v>
      </c>
      <c r="I421" t="s">
        <v>1103</v>
      </c>
      <c r="J421">
        <v>2429</v>
      </c>
      <c r="K421">
        <v>8</v>
      </c>
      <c r="L421" t="s">
        <v>1022</v>
      </c>
      <c r="M421">
        <v>27723</v>
      </c>
      <c r="N421">
        <v>4543</v>
      </c>
      <c r="O421">
        <v>32266</v>
      </c>
      <c r="P421" t="s">
        <v>2883</v>
      </c>
    </row>
    <row r="422" spans="1:16" x14ac:dyDescent="0.25">
      <c r="A422" t="s">
        <v>2646</v>
      </c>
      <c r="B422" t="s">
        <v>913</v>
      </c>
      <c r="C422" s="3">
        <v>44959</v>
      </c>
      <c r="D422" t="s">
        <v>1019</v>
      </c>
      <c r="F422" t="s">
        <v>1178</v>
      </c>
      <c r="H422" t="s">
        <v>2647</v>
      </c>
      <c r="I422" t="s">
        <v>1212</v>
      </c>
      <c r="J422">
        <v>2424</v>
      </c>
      <c r="K422">
        <v>6</v>
      </c>
      <c r="L422" t="s">
        <v>2338</v>
      </c>
      <c r="M422">
        <v>11180</v>
      </c>
      <c r="N422">
        <v>2975</v>
      </c>
      <c r="O422">
        <v>14155</v>
      </c>
      <c r="P422" t="s">
        <v>2882</v>
      </c>
    </row>
    <row r="423" spans="1:16" x14ac:dyDescent="0.25">
      <c r="A423" t="s">
        <v>1388</v>
      </c>
      <c r="B423" t="s">
        <v>857</v>
      </c>
      <c r="C423" s="3">
        <v>45013</v>
      </c>
      <c r="D423" t="s">
        <v>1024</v>
      </c>
      <c r="E423">
        <v>59.99</v>
      </c>
      <c r="F423" t="s">
        <v>1113</v>
      </c>
      <c r="G423">
        <v>29</v>
      </c>
      <c r="H423" t="s">
        <v>1365</v>
      </c>
      <c r="I423" t="s">
        <v>1223</v>
      </c>
      <c r="J423">
        <v>2391</v>
      </c>
      <c r="K423">
        <v>8</v>
      </c>
      <c r="L423" t="s">
        <v>1022</v>
      </c>
      <c r="M423">
        <v>36282</v>
      </c>
      <c r="N423">
        <v>7463</v>
      </c>
      <c r="O423">
        <v>43745</v>
      </c>
      <c r="P423" t="s">
        <v>2883</v>
      </c>
    </row>
    <row r="424" spans="1:16" x14ac:dyDescent="0.25">
      <c r="A424" t="s">
        <v>2406</v>
      </c>
      <c r="B424" t="s">
        <v>401</v>
      </c>
      <c r="C424" s="3">
        <v>46052</v>
      </c>
      <c r="D424" t="s">
        <v>1024</v>
      </c>
      <c r="E424">
        <v>24.99</v>
      </c>
      <c r="F424" t="s">
        <v>1026</v>
      </c>
      <c r="H424" t="s">
        <v>2407</v>
      </c>
      <c r="I424" t="s">
        <v>2408</v>
      </c>
      <c r="J424">
        <v>2383</v>
      </c>
      <c r="K424">
        <v>6</v>
      </c>
      <c r="L424" t="s">
        <v>2338</v>
      </c>
      <c r="M424">
        <v>14890</v>
      </c>
      <c r="N424">
        <v>5677</v>
      </c>
      <c r="O424">
        <v>20567</v>
      </c>
      <c r="P424" t="s">
        <v>2883</v>
      </c>
    </row>
    <row r="425" spans="1:16" x14ac:dyDescent="0.25">
      <c r="A425" t="s">
        <v>1377</v>
      </c>
      <c r="B425" t="s">
        <v>612</v>
      </c>
      <c r="C425" s="3">
        <v>43319</v>
      </c>
      <c r="D425" t="s">
        <v>1024</v>
      </c>
      <c r="E425">
        <v>48.49</v>
      </c>
      <c r="F425" t="s">
        <v>1208</v>
      </c>
      <c r="G425">
        <v>54</v>
      </c>
      <c r="H425" t="s">
        <v>1378</v>
      </c>
      <c r="I425" t="s">
        <v>1379</v>
      </c>
      <c r="J425">
        <v>2361</v>
      </c>
      <c r="K425">
        <v>8</v>
      </c>
      <c r="L425" t="s">
        <v>1022</v>
      </c>
      <c r="M425">
        <v>17986</v>
      </c>
      <c r="N425">
        <v>1197</v>
      </c>
      <c r="O425">
        <v>19183</v>
      </c>
      <c r="P425" t="s">
        <v>2883</v>
      </c>
    </row>
    <row r="426" spans="1:16" x14ac:dyDescent="0.25">
      <c r="A426" t="s">
        <v>1707</v>
      </c>
      <c r="B426" t="s">
        <v>102</v>
      </c>
      <c r="C426" s="3">
        <v>41169</v>
      </c>
      <c r="D426" t="s">
        <v>1024</v>
      </c>
      <c r="E426">
        <v>19.989999999999998</v>
      </c>
      <c r="F426" t="s">
        <v>1042</v>
      </c>
      <c r="G426">
        <v>75</v>
      </c>
      <c r="H426" t="s">
        <v>1708</v>
      </c>
      <c r="I426" t="s">
        <v>1123</v>
      </c>
      <c r="J426">
        <v>2351</v>
      </c>
      <c r="K426">
        <v>8</v>
      </c>
      <c r="L426" t="s">
        <v>1022</v>
      </c>
      <c r="M426">
        <v>161044</v>
      </c>
      <c r="N426">
        <v>17408</v>
      </c>
      <c r="O426">
        <v>178452</v>
      </c>
      <c r="P426" t="s">
        <v>2883</v>
      </c>
    </row>
    <row r="427" spans="1:16" x14ac:dyDescent="0.25">
      <c r="A427" t="s">
        <v>1709</v>
      </c>
      <c r="B427" t="s">
        <v>828</v>
      </c>
      <c r="C427" s="3">
        <v>45800</v>
      </c>
      <c r="D427" t="s">
        <v>1024</v>
      </c>
      <c r="E427">
        <v>44.99</v>
      </c>
      <c r="F427" t="s">
        <v>1042</v>
      </c>
      <c r="G427">
        <v>65</v>
      </c>
      <c r="H427" t="s">
        <v>1710</v>
      </c>
      <c r="I427" t="s">
        <v>1711</v>
      </c>
      <c r="J427">
        <v>2347</v>
      </c>
      <c r="K427">
        <v>8</v>
      </c>
      <c r="L427" t="s">
        <v>1022</v>
      </c>
      <c r="M427">
        <v>17199</v>
      </c>
      <c r="N427">
        <v>2362</v>
      </c>
      <c r="O427">
        <v>19561</v>
      </c>
      <c r="P427" t="s">
        <v>2883</v>
      </c>
    </row>
    <row r="428" spans="1:16" x14ac:dyDescent="0.25">
      <c r="A428" t="s">
        <v>2648</v>
      </c>
      <c r="B428" t="s">
        <v>371</v>
      </c>
      <c r="C428" s="3">
        <v>42423</v>
      </c>
      <c r="D428" t="s">
        <v>1019</v>
      </c>
      <c r="F428" t="s">
        <v>1058</v>
      </c>
      <c r="H428" t="s">
        <v>371</v>
      </c>
      <c r="I428" t="s">
        <v>371</v>
      </c>
      <c r="J428">
        <v>2317</v>
      </c>
      <c r="K428">
        <v>9</v>
      </c>
      <c r="L428" t="s">
        <v>2077</v>
      </c>
      <c r="M428">
        <v>5141</v>
      </c>
      <c r="N428">
        <v>196</v>
      </c>
      <c r="O428">
        <v>5337</v>
      </c>
      <c r="P428" t="s">
        <v>2882</v>
      </c>
    </row>
    <row r="429" spans="1:16" x14ac:dyDescent="0.25">
      <c r="A429" t="s">
        <v>1962</v>
      </c>
      <c r="B429" t="s">
        <v>457</v>
      </c>
      <c r="C429" s="3">
        <v>45951</v>
      </c>
      <c r="D429" t="s">
        <v>1024</v>
      </c>
      <c r="E429">
        <v>59.99</v>
      </c>
      <c r="F429" t="s">
        <v>1047</v>
      </c>
      <c r="G429">
        <v>45</v>
      </c>
      <c r="H429" t="s">
        <v>1915</v>
      </c>
      <c r="I429" t="s">
        <v>1915</v>
      </c>
      <c r="J429">
        <v>2316</v>
      </c>
      <c r="K429">
        <v>8</v>
      </c>
      <c r="L429" t="s">
        <v>1022</v>
      </c>
      <c r="M429">
        <v>7332</v>
      </c>
      <c r="N429">
        <v>468</v>
      </c>
      <c r="O429">
        <v>7800</v>
      </c>
      <c r="P429" t="s">
        <v>2883</v>
      </c>
    </row>
    <row r="430" spans="1:16" x14ac:dyDescent="0.25">
      <c r="A430" t="s">
        <v>1960</v>
      </c>
      <c r="B430" t="s">
        <v>957</v>
      </c>
      <c r="C430" s="3">
        <v>45028</v>
      </c>
      <c r="D430" t="s">
        <v>1024</v>
      </c>
      <c r="E430">
        <v>34.99</v>
      </c>
      <c r="F430" t="s">
        <v>1047</v>
      </c>
      <c r="G430">
        <v>235</v>
      </c>
      <c r="H430" t="s">
        <v>1961</v>
      </c>
      <c r="I430" t="s">
        <v>1961</v>
      </c>
      <c r="J430">
        <v>2315</v>
      </c>
      <c r="K430">
        <v>8</v>
      </c>
      <c r="L430" t="s">
        <v>1022</v>
      </c>
      <c r="M430">
        <v>12361</v>
      </c>
      <c r="N430">
        <v>2339</v>
      </c>
      <c r="O430">
        <v>14700</v>
      </c>
      <c r="P430" t="s">
        <v>2883</v>
      </c>
    </row>
    <row r="431" spans="1:16" x14ac:dyDescent="0.25">
      <c r="A431" t="s">
        <v>1395</v>
      </c>
      <c r="B431" t="s">
        <v>838</v>
      </c>
      <c r="C431" s="3">
        <v>45821</v>
      </c>
      <c r="D431" t="s">
        <v>1024</v>
      </c>
      <c r="E431">
        <v>34.99</v>
      </c>
      <c r="F431" t="s">
        <v>1113</v>
      </c>
      <c r="G431">
        <v>63</v>
      </c>
      <c r="H431" t="s">
        <v>1396</v>
      </c>
      <c r="I431" t="s">
        <v>1396</v>
      </c>
      <c r="J431">
        <v>2301</v>
      </c>
      <c r="K431">
        <v>8</v>
      </c>
      <c r="L431" t="s">
        <v>1022</v>
      </c>
      <c r="M431">
        <v>6236</v>
      </c>
      <c r="N431">
        <v>766</v>
      </c>
      <c r="O431">
        <v>7002</v>
      </c>
      <c r="P431" t="s">
        <v>2883</v>
      </c>
    </row>
    <row r="432" spans="1:16" x14ac:dyDescent="0.25">
      <c r="A432" t="s">
        <v>1392</v>
      </c>
      <c r="B432" t="s">
        <v>387</v>
      </c>
      <c r="C432" s="3">
        <v>43327</v>
      </c>
      <c r="D432" t="s">
        <v>1024</v>
      </c>
      <c r="E432">
        <v>19.989999999999998</v>
      </c>
      <c r="F432" t="s">
        <v>1110</v>
      </c>
      <c r="G432">
        <v>125</v>
      </c>
      <c r="H432" t="s">
        <v>1393</v>
      </c>
      <c r="I432" t="s">
        <v>1394</v>
      </c>
      <c r="J432">
        <v>2295</v>
      </c>
      <c r="K432">
        <v>8</v>
      </c>
      <c r="L432" t="s">
        <v>1022</v>
      </c>
      <c r="M432">
        <v>19971</v>
      </c>
      <c r="N432">
        <v>4195</v>
      </c>
      <c r="O432">
        <v>24166</v>
      </c>
      <c r="P432" t="s">
        <v>2883</v>
      </c>
    </row>
    <row r="433" spans="1:16" x14ac:dyDescent="0.25">
      <c r="A433" t="s">
        <v>2780</v>
      </c>
      <c r="B433" t="s">
        <v>499</v>
      </c>
      <c r="C433" s="3">
        <v>45343</v>
      </c>
      <c r="D433" t="s">
        <v>1019</v>
      </c>
      <c r="F433" t="s">
        <v>1020</v>
      </c>
      <c r="G433">
        <v>72</v>
      </c>
      <c r="H433" t="s">
        <v>2781</v>
      </c>
      <c r="I433" t="s">
        <v>2781</v>
      </c>
      <c r="J433">
        <v>2275</v>
      </c>
      <c r="K433">
        <v>5</v>
      </c>
      <c r="L433" t="s">
        <v>2514</v>
      </c>
      <c r="M433">
        <v>1673</v>
      </c>
      <c r="N433">
        <v>1775</v>
      </c>
      <c r="O433">
        <v>3448</v>
      </c>
      <c r="P433" t="s">
        <v>2882</v>
      </c>
    </row>
    <row r="434" spans="1:16" x14ac:dyDescent="0.25">
      <c r="A434" t="s">
        <v>2198</v>
      </c>
      <c r="B434" t="s">
        <v>321</v>
      </c>
      <c r="C434" s="3">
        <v>45509</v>
      </c>
      <c r="D434" t="s">
        <v>1024</v>
      </c>
      <c r="E434">
        <v>13.99</v>
      </c>
      <c r="F434" t="s">
        <v>1026</v>
      </c>
      <c r="H434" t="s">
        <v>2199</v>
      </c>
      <c r="I434" t="s">
        <v>2199</v>
      </c>
      <c r="J434">
        <v>2249</v>
      </c>
      <c r="K434">
        <v>9</v>
      </c>
      <c r="L434" t="s">
        <v>2077</v>
      </c>
      <c r="M434">
        <v>22631</v>
      </c>
      <c r="N434">
        <v>471</v>
      </c>
      <c r="O434">
        <v>23102</v>
      </c>
      <c r="P434" t="s">
        <v>2883</v>
      </c>
    </row>
    <row r="435" spans="1:16" x14ac:dyDescent="0.25">
      <c r="A435" t="s">
        <v>1104</v>
      </c>
      <c r="B435" t="s">
        <v>393</v>
      </c>
      <c r="C435" s="3">
        <v>45867</v>
      </c>
      <c r="D435" t="s">
        <v>1024</v>
      </c>
      <c r="E435">
        <v>29.99</v>
      </c>
      <c r="F435" t="s">
        <v>1026</v>
      </c>
      <c r="H435" t="s">
        <v>1105</v>
      </c>
      <c r="I435" t="s">
        <v>1106</v>
      </c>
      <c r="J435">
        <v>2246</v>
      </c>
      <c r="K435">
        <v>8</v>
      </c>
      <c r="L435" t="s">
        <v>1022</v>
      </c>
      <c r="M435">
        <v>11332</v>
      </c>
      <c r="N435">
        <v>1923</v>
      </c>
      <c r="O435">
        <v>13255</v>
      </c>
      <c r="P435" t="s">
        <v>2883</v>
      </c>
    </row>
    <row r="436" spans="1:16" x14ac:dyDescent="0.25">
      <c r="A436" t="s">
        <v>1838</v>
      </c>
      <c r="B436" t="s">
        <v>300</v>
      </c>
      <c r="C436" s="3">
        <v>42823</v>
      </c>
      <c r="D436" t="s">
        <v>1019</v>
      </c>
      <c r="F436" t="s">
        <v>1020</v>
      </c>
      <c r="G436">
        <v>35</v>
      </c>
      <c r="H436" t="s">
        <v>1206</v>
      </c>
      <c r="I436" t="s">
        <v>1051</v>
      </c>
      <c r="J436">
        <v>2238</v>
      </c>
      <c r="K436">
        <v>8</v>
      </c>
      <c r="L436" t="s">
        <v>1022</v>
      </c>
      <c r="M436">
        <v>28010</v>
      </c>
      <c r="N436">
        <v>4794</v>
      </c>
      <c r="O436">
        <v>32804</v>
      </c>
      <c r="P436" t="s">
        <v>2882</v>
      </c>
    </row>
    <row r="437" spans="1:16" x14ac:dyDescent="0.25">
      <c r="A437" t="s">
        <v>2197</v>
      </c>
      <c r="B437" t="s">
        <v>404</v>
      </c>
      <c r="C437" s="3">
        <v>38307</v>
      </c>
      <c r="D437" t="s">
        <v>1024</v>
      </c>
      <c r="E437">
        <v>9.99</v>
      </c>
      <c r="F437" t="s">
        <v>1189</v>
      </c>
      <c r="G437">
        <v>69</v>
      </c>
      <c r="H437" t="s">
        <v>1021</v>
      </c>
      <c r="I437" t="s">
        <v>1021</v>
      </c>
      <c r="J437">
        <v>2238</v>
      </c>
      <c r="K437">
        <v>9</v>
      </c>
      <c r="L437" t="s">
        <v>2077</v>
      </c>
      <c r="M437">
        <v>119138</v>
      </c>
      <c r="N437">
        <v>3226</v>
      </c>
      <c r="O437">
        <v>122364</v>
      </c>
      <c r="P437" t="s">
        <v>2883</v>
      </c>
    </row>
    <row r="438" spans="1:16" x14ac:dyDescent="0.25">
      <c r="A438" t="s">
        <v>1389</v>
      </c>
      <c r="B438" t="s">
        <v>677</v>
      </c>
      <c r="C438" s="3">
        <v>42822</v>
      </c>
      <c r="D438" t="s">
        <v>1024</v>
      </c>
      <c r="E438">
        <v>24.99</v>
      </c>
      <c r="F438" t="s">
        <v>1208</v>
      </c>
      <c r="G438">
        <v>47</v>
      </c>
      <c r="H438" t="s">
        <v>1390</v>
      </c>
      <c r="I438" t="s">
        <v>1391</v>
      </c>
      <c r="J438">
        <v>2219</v>
      </c>
      <c r="K438">
        <v>8</v>
      </c>
      <c r="L438" t="s">
        <v>1022</v>
      </c>
      <c r="M438">
        <v>34108</v>
      </c>
      <c r="N438">
        <v>1974</v>
      </c>
      <c r="O438">
        <v>36082</v>
      </c>
      <c r="P438" t="s">
        <v>2883</v>
      </c>
    </row>
    <row r="439" spans="1:16" x14ac:dyDescent="0.25">
      <c r="A439" t="s">
        <v>1107</v>
      </c>
      <c r="B439" t="s">
        <v>195</v>
      </c>
      <c r="C439" s="3">
        <v>44060</v>
      </c>
      <c r="D439" t="s">
        <v>1019</v>
      </c>
      <c r="F439" t="s">
        <v>1020</v>
      </c>
      <c r="H439" t="s">
        <v>1108</v>
      </c>
      <c r="I439" t="s">
        <v>1108</v>
      </c>
      <c r="J439">
        <v>2200</v>
      </c>
      <c r="K439">
        <v>8</v>
      </c>
      <c r="L439" t="s">
        <v>1022</v>
      </c>
      <c r="M439">
        <v>2554</v>
      </c>
      <c r="N439">
        <v>304</v>
      </c>
      <c r="O439">
        <v>2858</v>
      </c>
      <c r="P439" t="s">
        <v>2882</v>
      </c>
    </row>
    <row r="440" spans="1:16" x14ac:dyDescent="0.25">
      <c r="A440" t="s">
        <v>1397</v>
      </c>
      <c r="B440" t="s">
        <v>864</v>
      </c>
      <c r="C440" s="3">
        <v>46219</v>
      </c>
      <c r="D440" t="s">
        <v>1024</v>
      </c>
      <c r="E440">
        <v>1.99</v>
      </c>
      <c r="F440" t="s">
        <v>1110</v>
      </c>
      <c r="G440">
        <v>18</v>
      </c>
      <c r="H440" t="s">
        <v>1398</v>
      </c>
      <c r="I440" t="s">
        <v>1399</v>
      </c>
      <c r="J440">
        <v>2200</v>
      </c>
      <c r="K440">
        <v>8</v>
      </c>
      <c r="L440" t="s">
        <v>1022</v>
      </c>
      <c r="M440">
        <v>289</v>
      </c>
      <c r="N440">
        <v>5</v>
      </c>
      <c r="O440">
        <v>294</v>
      </c>
      <c r="P440" t="s">
        <v>2883</v>
      </c>
    </row>
    <row r="441" spans="1:16" x14ac:dyDescent="0.25">
      <c r="A441" t="s">
        <v>1963</v>
      </c>
      <c r="B441" t="s">
        <v>318</v>
      </c>
      <c r="C441" s="3">
        <v>45953</v>
      </c>
      <c r="D441" t="s">
        <v>1024</v>
      </c>
      <c r="E441">
        <v>34.99</v>
      </c>
      <c r="F441" t="s">
        <v>1047</v>
      </c>
      <c r="G441">
        <v>74</v>
      </c>
      <c r="H441" t="s">
        <v>1688</v>
      </c>
      <c r="I441" t="s">
        <v>1688</v>
      </c>
      <c r="J441">
        <v>2198</v>
      </c>
      <c r="K441">
        <v>8</v>
      </c>
      <c r="L441" t="s">
        <v>1022</v>
      </c>
      <c r="M441">
        <v>9776</v>
      </c>
      <c r="N441">
        <v>1514</v>
      </c>
      <c r="O441">
        <v>11290</v>
      </c>
      <c r="P441" t="s">
        <v>2883</v>
      </c>
    </row>
    <row r="442" spans="1:16" x14ac:dyDescent="0.25">
      <c r="A442" t="s">
        <v>1964</v>
      </c>
      <c r="B442" t="s">
        <v>950</v>
      </c>
      <c r="C442" s="3">
        <v>45883</v>
      </c>
      <c r="D442" t="s">
        <v>1024</v>
      </c>
      <c r="E442">
        <v>29.99</v>
      </c>
      <c r="F442" t="s">
        <v>1047</v>
      </c>
      <c r="G442">
        <v>109</v>
      </c>
      <c r="H442" t="s">
        <v>1956</v>
      </c>
      <c r="I442" t="s">
        <v>1956</v>
      </c>
      <c r="J442">
        <v>2183</v>
      </c>
      <c r="K442">
        <v>8</v>
      </c>
      <c r="L442" t="s">
        <v>1022</v>
      </c>
      <c r="M442">
        <v>5790</v>
      </c>
      <c r="N442">
        <v>897</v>
      </c>
      <c r="O442">
        <v>6687</v>
      </c>
      <c r="P442" t="s">
        <v>2883</v>
      </c>
    </row>
    <row r="443" spans="1:16" x14ac:dyDescent="0.25">
      <c r="A443" t="s">
        <v>2204</v>
      </c>
      <c r="B443" t="s">
        <v>474</v>
      </c>
      <c r="C443" s="3">
        <v>45960</v>
      </c>
      <c r="D443" t="s">
        <v>1024</v>
      </c>
      <c r="E443">
        <v>5.99</v>
      </c>
      <c r="F443" t="s">
        <v>1110</v>
      </c>
      <c r="G443">
        <v>18</v>
      </c>
      <c r="H443" t="s">
        <v>2205</v>
      </c>
      <c r="I443" t="s">
        <v>2205</v>
      </c>
      <c r="J443">
        <v>2169</v>
      </c>
      <c r="K443">
        <v>9</v>
      </c>
      <c r="L443" t="s">
        <v>2077</v>
      </c>
      <c r="M443">
        <v>2620</v>
      </c>
      <c r="N443">
        <v>105</v>
      </c>
      <c r="O443">
        <v>2725</v>
      </c>
      <c r="P443" t="s">
        <v>2883</v>
      </c>
    </row>
    <row r="444" spans="1:16" x14ac:dyDescent="0.25">
      <c r="A444" t="s">
        <v>1400</v>
      </c>
      <c r="B444" t="s">
        <v>985</v>
      </c>
      <c r="C444" s="3">
        <v>43893</v>
      </c>
      <c r="D444" t="s">
        <v>1024</v>
      </c>
      <c r="E444">
        <v>9.99</v>
      </c>
      <c r="F444" t="s">
        <v>1026</v>
      </c>
      <c r="G444">
        <v>11</v>
      </c>
      <c r="H444" t="s">
        <v>1401</v>
      </c>
      <c r="I444" t="s">
        <v>1401</v>
      </c>
      <c r="J444">
        <v>2164</v>
      </c>
      <c r="K444">
        <v>8</v>
      </c>
      <c r="L444" t="s">
        <v>1022</v>
      </c>
      <c r="M444">
        <v>1122</v>
      </c>
      <c r="N444">
        <v>185</v>
      </c>
      <c r="O444">
        <v>1307</v>
      </c>
      <c r="P444" t="s">
        <v>2883</v>
      </c>
    </row>
    <row r="445" spans="1:16" x14ac:dyDescent="0.25">
      <c r="A445" t="s">
        <v>2411</v>
      </c>
      <c r="B445" t="s">
        <v>385</v>
      </c>
      <c r="C445" s="3">
        <v>44945</v>
      </c>
      <c r="D445" t="s">
        <v>1024</v>
      </c>
      <c r="E445">
        <v>59.99</v>
      </c>
      <c r="F445" t="s">
        <v>1113</v>
      </c>
      <c r="G445">
        <v>35</v>
      </c>
      <c r="H445" t="s">
        <v>1185</v>
      </c>
      <c r="I445" t="s">
        <v>1185</v>
      </c>
      <c r="J445">
        <v>2104</v>
      </c>
      <c r="K445">
        <v>6</v>
      </c>
      <c r="L445" t="s">
        <v>2338</v>
      </c>
      <c r="M445">
        <v>3816</v>
      </c>
      <c r="N445">
        <v>1101</v>
      </c>
      <c r="O445">
        <v>4917</v>
      </c>
      <c r="P445" t="s">
        <v>2883</v>
      </c>
    </row>
    <row r="446" spans="1:16" x14ac:dyDescent="0.25">
      <c r="A446" t="s">
        <v>1722</v>
      </c>
      <c r="B446" t="s">
        <v>688</v>
      </c>
      <c r="C446" s="3">
        <v>45132</v>
      </c>
      <c r="D446" t="s">
        <v>1024</v>
      </c>
      <c r="E446">
        <v>49.99</v>
      </c>
      <c r="F446" t="s">
        <v>1042</v>
      </c>
      <c r="G446">
        <v>65</v>
      </c>
      <c r="H446" t="s">
        <v>1723</v>
      </c>
      <c r="I446" t="s">
        <v>1724</v>
      </c>
      <c r="J446">
        <v>2100</v>
      </c>
      <c r="K446">
        <v>8</v>
      </c>
      <c r="L446" t="s">
        <v>1022</v>
      </c>
      <c r="M446">
        <v>31939</v>
      </c>
      <c r="N446">
        <v>5809</v>
      </c>
      <c r="O446">
        <v>37748</v>
      </c>
      <c r="P446" t="s">
        <v>2883</v>
      </c>
    </row>
    <row r="447" spans="1:16" x14ac:dyDescent="0.25">
      <c r="A447" t="s">
        <v>2200</v>
      </c>
      <c r="B447" t="s">
        <v>129</v>
      </c>
      <c r="C447" s="3">
        <v>44419</v>
      </c>
      <c r="D447" t="s">
        <v>1024</v>
      </c>
      <c r="E447">
        <v>24.99</v>
      </c>
      <c r="F447" t="s">
        <v>1110</v>
      </c>
      <c r="G447">
        <v>46</v>
      </c>
      <c r="H447" t="s">
        <v>1535</v>
      </c>
      <c r="I447" t="s">
        <v>1264</v>
      </c>
      <c r="J447">
        <v>2091</v>
      </c>
      <c r="K447">
        <v>9</v>
      </c>
      <c r="L447" t="s">
        <v>2077</v>
      </c>
      <c r="M447">
        <v>16705</v>
      </c>
      <c r="N447">
        <v>777</v>
      </c>
      <c r="O447">
        <v>17482</v>
      </c>
      <c r="P447" t="s">
        <v>2883</v>
      </c>
    </row>
    <row r="448" spans="1:16" x14ac:dyDescent="0.25">
      <c r="A448" t="s">
        <v>1839</v>
      </c>
      <c r="B448" t="s">
        <v>146</v>
      </c>
      <c r="C448" s="3">
        <v>42137</v>
      </c>
      <c r="D448" t="s">
        <v>1019</v>
      </c>
      <c r="F448" t="s">
        <v>1020</v>
      </c>
      <c r="G448">
        <v>111</v>
      </c>
      <c r="H448" t="s">
        <v>1840</v>
      </c>
      <c r="I448" t="s">
        <v>1840</v>
      </c>
      <c r="J448">
        <v>2085</v>
      </c>
      <c r="K448">
        <v>8</v>
      </c>
      <c r="L448" t="s">
        <v>1022</v>
      </c>
      <c r="M448">
        <v>25281</v>
      </c>
      <c r="N448">
        <v>3346</v>
      </c>
      <c r="O448">
        <v>28627</v>
      </c>
      <c r="P448" t="s">
        <v>2882</v>
      </c>
    </row>
    <row r="449" spans="1:16" x14ac:dyDescent="0.25">
      <c r="A449" t="s">
        <v>1715</v>
      </c>
      <c r="B449" t="s">
        <v>103</v>
      </c>
      <c r="C449" s="3">
        <v>43903</v>
      </c>
      <c r="D449" t="s">
        <v>1024</v>
      </c>
      <c r="E449">
        <v>59.99</v>
      </c>
      <c r="F449" t="s">
        <v>1042</v>
      </c>
      <c r="G449">
        <v>81</v>
      </c>
      <c r="H449" t="s">
        <v>1708</v>
      </c>
      <c r="I449" t="s">
        <v>1123</v>
      </c>
      <c r="J449">
        <v>2084</v>
      </c>
      <c r="K449">
        <v>8</v>
      </c>
      <c r="L449" t="s">
        <v>1022</v>
      </c>
      <c r="M449">
        <v>61808</v>
      </c>
      <c r="N449">
        <v>14871</v>
      </c>
      <c r="O449">
        <v>76679</v>
      </c>
      <c r="P449" t="s">
        <v>2883</v>
      </c>
    </row>
    <row r="450" spans="1:16" x14ac:dyDescent="0.25">
      <c r="A450" t="s">
        <v>1965</v>
      </c>
      <c r="B450" t="s">
        <v>95</v>
      </c>
      <c r="C450" s="3">
        <v>45757</v>
      </c>
      <c r="D450" t="s">
        <v>1024</v>
      </c>
      <c r="E450">
        <v>29.99</v>
      </c>
      <c r="F450" t="s">
        <v>1047</v>
      </c>
      <c r="G450">
        <v>16</v>
      </c>
      <c r="H450" t="s">
        <v>1966</v>
      </c>
      <c r="I450" t="s">
        <v>1967</v>
      </c>
      <c r="J450">
        <v>2080</v>
      </c>
      <c r="K450">
        <v>8</v>
      </c>
      <c r="L450" t="s">
        <v>1022</v>
      </c>
      <c r="M450">
        <v>13584</v>
      </c>
      <c r="N450">
        <v>2178</v>
      </c>
      <c r="O450">
        <v>15762</v>
      </c>
      <c r="P450" t="s">
        <v>2883</v>
      </c>
    </row>
    <row r="451" spans="1:16" x14ac:dyDescent="0.25">
      <c r="A451" t="s">
        <v>1712</v>
      </c>
      <c r="B451" t="s">
        <v>280</v>
      </c>
      <c r="C451" s="3">
        <v>45946</v>
      </c>
      <c r="D451" t="s">
        <v>1024</v>
      </c>
      <c r="E451">
        <v>17.989999999999998</v>
      </c>
      <c r="F451" t="s">
        <v>1042</v>
      </c>
      <c r="G451">
        <v>55</v>
      </c>
      <c r="H451" t="s">
        <v>1713</v>
      </c>
      <c r="I451" t="s">
        <v>1714</v>
      </c>
      <c r="J451">
        <v>2070</v>
      </c>
      <c r="K451">
        <v>8</v>
      </c>
      <c r="L451" t="s">
        <v>1022</v>
      </c>
      <c r="M451">
        <v>10075</v>
      </c>
      <c r="N451">
        <v>717</v>
      </c>
      <c r="O451">
        <v>10792</v>
      </c>
      <c r="P451" t="s">
        <v>2883</v>
      </c>
    </row>
    <row r="452" spans="1:16" x14ac:dyDescent="0.25">
      <c r="A452" t="s">
        <v>1725</v>
      </c>
      <c r="B452" t="s">
        <v>535</v>
      </c>
      <c r="C452" s="3">
        <v>43017</v>
      </c>
      <c r="D452" t="s">
        <v>1024</v>
      </c>
      <c r="E452">
        <v>49.99</v>
      </c>
      <c r="F452" t="s">
        <v>1042</v>
      </c>
      <c r="G452">
        <v>72</v>
      </c>
      <c r="H452" t="s">
        <v>1575</v>
      </c>
      <c r="I452" t="s">
        <v>1372</v>
      </c>
      <c r="J452">
        <v>2070</v>
      </c>
      <c r="K452">
        <v>8</v>
      </c>
      <c r="L452" t="s">
        <v>1022</v>
      </c>
      <c r="M452">
        <v>43475</v>
      </c>
      <c r="N452">
        <v>5907</v>
      </c>
      <c r="O452">
        <v>49382</v>
      </c>
      <c r="P452" t="s">
        <v>2883</v>
      </c>
    </row>
    <row r="453" spans="1:16" x14ac:dyDescent="0.25">
      <c r="A453" t="s">
        <v>2201</v>
      </c>
      <c r="B453" t="s">
        <v>258</v>
      </c>
      <c r="C453" s="3">
        <v>44216</v>
      </c>
      <c r="D453" t="s">
        <v>1024</v>
      </c>
      <c r="E453">
        <v>19.989999999999998</v>
      </c>
      <c r="F453" t="s">
        <v>1026</v>
      </c>
      <c r="G453">
        <v>128</v>
      </c>
      <c r="H453" t="s">
        <v>2202</v>
      </c>
      <c r="I453" t="s">
        <v>2203</v>
      </c>
      <c r="J453">
        <v>2069</v>
      </c>
      <c r="K453">
        <v>9</v>
      </c>
      <c r="L453" t="s">
        <v>2077</v>
      </c>
      <c r="M453">
        <v>24432</v>
      </c>
      <c r="N453">
        <v>996</v>
      </c>
      <c r="O453">
        <v>25428</v>
      </c>
      <c r="P453" t="s">
        <v>2883</v>
      </c>
    </row>
    <row r="454" spans="1:16" x14ac:dyDescent="0.25">
      <c r="A454" t="s">
        <v>1841</v>
      </c>
      <c r="B454" t="s">
        <v>867</v>
      </c>
      <c r="C454" s="3">
        <v>45991</v>
      </c>
      <c r="D454" t="s">
        <v>1019</v>
      </c>
      <c r="F454" t="s">
        <v>1020</v>
      </c>
      <c r="G454">
        <v>74</v>
      </c>
      <c r="H454" t="s">
        <v>1842</v>
      </c>
      <c r="I454" t="s">
        <v>1842</v>
      </c>
      <c r="J454">
        <v>2065</v>
      </c>
      <c r="K454">
        <v>8</v>
      </c>
      <c r="L454" t="s">
        <v>1022</v>
      </c>
      <c r="M454">
        <v>2774</v>
      </c>
      <c r="N454">
        <v>466</v>
      </c>
      <c r="O454">
        <v>3240</v>
      </c>
      <c r="P454" t="s">
        <v>2882</v>
      </c>
    </row>
    <row r="455" spans="1:16" x14ac:dyDescent="0.25">
      <c r="A455" t="s">
        <v>1406</v>
      </c>
      <c r="B455" t="s">
        <v>670</v>
      </c>
      <c r="C455" s="3">
        <v>43363</v>
      </c>
      <c r="D455" t="s">
        <v>1024</v>
      </c>
      <c r="E455">
        <v>14.99</v>
      </c>
      <c r="F455" t="s">
        <v>1208</v>
      </c>
      <c r="G455">
        <v>31</v>
      </c>
      <c r="H455" t="s">
        <v>1407</v>
      </c>
      <c r="I455" t="s">
        <v>1407</v>
      </c>
      <c r="J455">
        <v>2064</v>
      </c>
      <c r="K455">
        <v>8</v>
      </c>
      <c r="L455" t="s">
        <v>1022</v>
      </c>
      <c r="M455">
        <v>16145</v>
      </c>
      <c r="N455">
        <v>2272</v>
      </c>
      <c r="O455">
        <v>18417</v>
      </c>
      <c r="P455" t="s">
        <v>2883</v>
      </c>
    </row>
    <row r="456" spans="1:16" x14ac:dyDescent="0.25">
      <c r="A456" t="s">
        <v>1970</v>
      </c>
      <c r="B456" t="s">
        <v>592</v>
      </c>
      <c r="C456" s="3">
        <v>43166</v>
      </c>
      <c r="D456" t="s">
        <v>1024</v>
      </c>
      <c r="E456">
        <v>34.99</v>
      </c>
      <c r="F456" t="s">
        <v>1047</v>
      </c>
      <c r="G456">
        <v>289</v>
      </c>
      <c r="H456" t="s">
        <v>1961</v>
      </c>
      <c r="I456" t="s">
        <v>1961</v>
      </c>
      <c r="J456">
        <v>2060</v>
      </c>
      <c r="K456">
        <v>8</v>
      </c>
      <c r="L456" t="s">
        <v>1022</v>
      </c>
      <c r="M456">
        <v>24722</v>
      </c>
      <c r="N456">
        <v>4665</v>
      </c>
      <c r="O456">
        <v>29387</v>
      </c>
      <c r="P456" t="s">
        <v>2883</v>
      </c>
    </row>
    <row r="457" spans="1:16" x14ac:dyDescent="0.25">
      <c r="A457" t="s">
        <v>2409</v>
      </c>
      <c r="B457" t="s">
        <v>996</v>
      </c>
      <c r="C457" s="3">
        <v>45072</v>
      </c>
      <c r="D457" t="s">
        <v>1024</v>
      </c>
      <c r="E457">
        <v>19.989999999999998</v>
      </c>
      <c r="F457" t="s">
        <v>1110</v>
      </c>
      <c r="G457">
        <v>169</v>
      </c>
      <c r="H457" t="s">
        <v>2410</v>
      </c>
      <c r="I457" t="s">
        <v>2410</v>
      </c>
      <c r="J457">
        <v>2059</v>
      </c>
      <c r="K457">
        <v>6</v>
      </c>
      <c r="L457" t="s">
        <v>2338</v>
      </c>
      <c r="M457">
        <v>3116</v>
      </c>
      <c r="N457">
        <v>830</v>
      </c>
      <c r="O457">
        <v>3946</v>
      </c>
      <c r="P457" t="s">
        <v>2883</v>
      </c>
    </row>
    <row r="458" spans="1:16" x14ac:dyDescent="0.25">
      <c r="A458" t="s">
        <v>1112</v>
      </c>
      <c r="B458" t="s">
        <v>111</v>
      </c>
      <c r="C458" s="3">
        <v>46183</v>
      </c>
      <c r="D458" t="s">
        <v>1024</v>
      </c>
      <c r="E458">
        <v>9.99</v>
      </c>
      <c r="F458" t="s">
        <v>1113</v>
      </c>
      <c r="H458" t="s">
        <v>1114</v>
      </c>
      <c r="I458" t="s">
        <v>1114</v>
      </c>
      <c r="J458">
        <v>2057</v>
      </c>
      <c r="K458">
        <v>8</v>
      </c>
      <c r="L458" t="s">
        <v>1022</v>
      </c>
      <c r="M458">
        <v>1938</v>
      </c>
      <c r="N458">
        <v>354</v>
      </c>
      <c r="O458">
        <v>2292</v>
      </c>
      <c r="P458" t="s">
        <v>2883</v>
      </c>
    </row>
    <row r="459" spans="1:16" x14ac:dyDescent="0.25">
      <c r="A459" t="s">
        <v>1109</v>
      </c>
      <c r="B459" t="s">
        <v>803</v>
      </c>
      <c r="C459" s="3">
        <v>44091</v>
      </c>
      <c r="D459" t="s">
        <v>1024</v>
      </c>
      <c r="E459">
        <v>24.99</v>
      </c>
      <c r="F459" t="s">
        <v>1110</v>
      </c>
      <c r="H459" t="s">
        <v>1111</v>
      </c>
      <c r="I459" t="s">
        <v>1111</v>
      </c>
      <c r="J459">
        <v>2054</v>
      </c>
      <c r="K459">
        <v>8</v>
      </c>
      <c r="L459" t="s">
        <v>1022</v>
      </c>
      <c r="M459">
        <v>40661</v>
      </c>
      <c r="N459">
        <v>4324</v>
      </c>
      <c r="O459">
        <v>44985</v>
      </c>
      <c r="P459" t="s">
        <v>2883</v>
      </c>
    </row>
    <row r="460" spans="1:16" x14ac:dyDescent="0.25">
      <c r="A460" t="s">
        <v>1402</v>
      </c>
      <c r="B460" t="s">
        <v>798</v>
      </c>
      <c r="C460" s="3">
        <v>43903</v>
      </c>
      <c r="D460" t="s">
        <v>1024</v>
      </c>
      <c r="E460">
        <v>29.99</v>
      </c>
      <c r="F460" t="s">
        <v>1110</v>
      </c>
      <c r="G460">
        <v>153</v>
      </c>
      <c r="H460" t="s">
        <v>1403</v>
      </c>
      <c r="I460" t="s">
        <v>1106</v>
      </c>
      <c r="J460">
        <v>2051</v>
      </c>
      <c r="K460">
        <v>8</v>
      </c>
      <c r="L460" t="s">
        <v>1022</v>
      </c>
      <c r="M460">
        <v>21512</v>
      </c>
      <c r="N460">
        <v>3881</v>
      </c>
      <c r="O460">
        <v>25393</v>
      </c>
      <c r="P460" t="s">
        <v>2883</v>
      </c>
    </row>
    <row r="461" spans="1:16" x14ac:dyDescent="0.25">
      <c r="A461" t="s">
        <v>2559</v>
      </c>
      <c r="B461" t="s">
        <v>780</v>
      </c>
      <c r="C461" s="3">
        <v>46184</v>
      </c>
      <c r="D461" t="s">
        <v>1024</v>
      </c>
      <c r="E461">
        <v>29.99</v>
      </c>
      <c r="F461" t="s">
        <v>1026</v>
      </c>
      <c r="H461" t="s">
        <v>1961</v>
      </c>
      <c r="I461" t="s">
        <v>1961</v>
      </c>
      <c r="J461">
        <v>2051</v>
      </c>
      <c r="K461">
        <v>5</v>
      </c>
      <c r="L461" t="s">
        <v>2514</v>
      </c>
      <c r="M461">
        <v>796</v>
      </c>
      <c r="N461">
        <v>393</v>
      </c>
      <c r="O461">
        <v>1189</v>
      </c>
      <c r="P461" t="s">
        <v>2883</v>
      </c>
    </row>
    <row r="462" spans="1:16" x14ac:dyDescent="0.25">
      <c r="A462" t="s">
        <v>2649</v>
      </c>
      <c r="B462" t="s">
        <v>752</v>
      </c>
      <c r="C462" s="3">
        <v>45916</v>
      </c>
      <c r="D462" t="s">
        <v>1019</v>
      </c>
      <c r="F462" t="s">
        <v>1026</v>
      </c>
      <c r="G462">
        <v>21</v>
      </c>
      <c r="H462" t="s">
        <v>2650</v>
      </c>
      <c r="I462" t="s">
        <v>1035</v>
      </c>
      <c r="J462">
        <v>2045</v>
      </c>
      <c r="K462">
        <v>5</v>
      </c>
      <c r="L462" t="s">
        <v>2514</v>
      </c>
      <c r="M462">
        <v>38473</v>
      </c>
      <c r="N462">
        <v>21798</v>
      </c>
      <c r="O462">
        <v>60271</v>
      </c>
      <c r="P462" t="s">
        <v>2882</v>
      </c>
    </row>
    <row r="463" spans="1:16" x14ac:dyDescent="0.25">
      <c r="A463" t="s">
        <v>2782</v>
      </c>
      <c r="B463" t="s">
        <v>438</v>
      </c>
      <c r="C463" s="3">
        <v>43915</v>
      </c>
      <c r="D463" t="s">
        <v>1019</v>
      </c>
      <c r="F463" t="s">
        <v>1020</v>
      </c>
      <c r="G463">
        <v>837</v>
      </c>
      <c r="H463" t="s">
        <v>2783</v>
      </c>
      <c r="I463" t="s">
        <v>2783</v>
      </c>
      <c r="J463">
        <v>2035</v>
      </c>
      <c r="K463">
        <v>6</v>
      </c>
      <c r="L463" t="s">
        <v>2338</v>
      </c>
      <c r="M463">
        <v>7292</v>
      </c>
      <c r="N463">
        <v>2225</v>
      </c>
      <c r="O463">
        <v>9517</v>
      </c>
      <c r="P463" t="s">
        <v>2882</v>
      </c>
    </row>
    <row r="464" spans="1:16" x14ac:dyDescent="0.25">
      <c r="A464" t="s">
        <v>1716</v>
      </c>
      <c r="B464" t="s">
        <v>527</v>
      </c>
      <c r="C464" s="3">
        <v>45575</v>
      </c>
      <c r="D464" t="s">
        <v>1024</v>
      </c>
      <c r="E464">
        <v>69.989999999999995</v>
      </c>
      <c r="F464" t="s">
        <v>1042</v>
      </c>
      <c r="G464">
        <v>44</v>
      </c>
      <c r="H464" t="s">
        <v>1717</v>
      </c>
      <c r="I464" t="s">
        <v>1555</v>
      </c>
      <c r="J464">
        <v>2019</v>
      </c>
      <c r="K464">
        <v>8</v>
      </c>
      <c r="L464" t="s">
        <v>1022</v>
      </c>
      <c r="M464">
        <v>18013</v>
      </c>
      <c r="N464">
        <v>1422</v>
      </c>
      <c r="O464">
        <v>19435</v>
      </c>
      <c r="P464" t="s">
        <v>2883</v>
      </c>
    </row>
    <row r="465" spans="1:16" x14ac:dyDescent="0.25">
      <c r="A465" t="s">
        <v>2786</v>
      </c>
      <c r="B465" t="s">
        <v>331</v>
      </c>
      <c r="C465" s="3">
        <v>45383</v>
      </c>
      <c r="D465" t="s">
        <v>1019</v>
      </c>
      <c r="F465" t="s">
        <v>1020</v>
      </c>
      <c r="G465">
        <v>75</v>
      </c>
      <c r="H465" t="s">
        <v>2787</v>
      </c>
      <c r="I465" t="s">
        <v>2787</v>
      </c>
      <c r="J465">
        <v>2013</v>
      </c>
      <c r="K465">
        <v>6</v>
      </c>
      <c r="L465" t="s">
        <v>2338</v>
      </c>
      <c r="M465">
        <v>1763</v>
      </c>
      <c r="N465">
        <v>714</v>
      </c>
      <c r="O465">
        <v>2477</v>
      </c>
      <c r="P465" t="s">
        <v>2882</v>
      </c>
    </row>
    <row r="466" spans="1:16" x14ac:dyDescent="0.25">
      <c r="A466" t="s">
        <v>2206</v>
      </c>
      <c r="B466" t="s">
        <v>729</v>
      </c>
      <c r="C466" s="3">
        <v>46099</v>
      </c>
      <c r="D466" t="s">
        <v>1024</v>
      </c>
      <c r="E466">
        <v>6.99</v>
      </c>
      <c r="F466" t="s">
        <v>1110</v>
      </c>
      <c r="G466">
        <v>34</v>
      </c>
      <c r="H466" t="s">
        <v>2207</v>
      </c>
      <c r="I466" t="s">
        <v>1469</v>
      </c>
      <c r="J466">
        <v>2008</v>
      </c>
      <c r="K466">
        <v>9</v>
      </c>
      <c r="L466" t="s">
        <v>2077</v>
      </c>
      <c r="M466">
        <v>6894</v>
      </c>
      <c r="N466">
        <v>322</v>
      </c>
      <c r="O466">
        <v>7216</v>
      </c>
      <c r="P466" t="s">
        <v>2883</v>
      </c>
    </row>
    <row r="467" spans="1:16" x14ac:dyDescent="0.25">
      <c r="A467" t="s">
        <v>1720</v>
      </c>
      <c r="B467" t="s">
        <v>221</v>
      </c>
      <c r="C467" s="3">
        <v>43753</v>
      </c>
      <c r="D467" t="s">
        <v>1024</v>
      </c>
      <c r="E467">
        <v>39.99</v>
      </c>
      <c r="F467" t="s">
        <v>1042</v>
      </c>
      <c r="G467">
        <v>45</v>
      </c>
      <c r="H467" t="s">
        <v>1721</v>
      </c>
      <c r="I467" t="s">
        <v>1721</v>
      </c>
      <c r="J467">
        <v>2005</v>
      </c>
      <c r="K467">
        <v>8</v>
      </c>
      <c r="L467" t="s">
        <v>1022</v>
      </c>
      <c r="M467">
        <v>57891</v>
      </c>
      <c r="N467">
        <v>4916</v>
      </c>
      <c r="O467">
        <v>62807</v>
      </c>
      <c r="P467" t="s">
        <v>2883</v>
      </c>
    </row>
    <row r="468" spans="1:16" x14ac:dyDescent="0.25">
      <c r="A468" t="s">
        <v>2412</v>
      </c>
      <c r="B468" t="s">
        <v>770</v>
      </c>
      <c r="C468" s="3">
        <v>46121</v>
      </c>
      <c r="D468" t="s">
        <v>1024</v>
      </c>
      <c r="E468">
        <v>29.99</v>
      </c>
      <c r="F468" t="s">
        <v>1020</v>
      </c>
      <c r="G468">
        <v>120</v>
      </c>
      <c r="H468" t="s">
        <v>2413</v>
      </c>
      <c r="I468" t="s">
        <v>2414</v>
      </c>
      <c r="J468">
        <v>1986</v>
      </c>
      <c r="K468">
        <v>6</v>
      </c>
      <c r="L468" t="s">
        <v>2338</v>
      </c>
      <c r="M468">
        <v>6432</v>
      </c>
      <c r="N468">
        <v>1983</v>
      </c>
      <c r="O468">
        <v>8415</v>
      </c>
      <c r="P468" t="s">
        <v>2883</v>
      </c>
    </row>
    <row r="469" spans="1:16" x14ac:dyDescent="0.25">
      <c r="A469" t="s">
        <v>2784</v>
      </c>
      <c r="B469" t="s">
        <v>386</v>
      </c>
      <c r="C469" s="3">
        <v>44404</v>
      </c>
      <c r="D469" t="s">
        <v>1019</v>
      </c>
      <c r="F469" t="s">
        <v>1020</v>
      </c>
      <c r="H469" t="s">
        <v>2785</v>
      </c>
      <c r="I469" t="s">
        <v>2785</v>
      </c>
      <c r="J469">
        <v>1986</v>
      </c>
      <c r="K469">
        <v>5</v>
      </c>
      <c r="L469" t="s">
        <v>2514</v>
      </c>
      <c r="M469">
        <v>3382</v>
      </c>
      <c r="N469">
        <v>1871</v>
      </c>
      <c r="O469">
        <v>5253</v>
      </c>
      <c r="P469" t="s">
        <v>2882</v>
      </c>
    </row>
    <row r="470" spans="1:16" x14ac:dyDescent="0.25">
      <c r="A470" t="s">
        <v>1404</v>
      </c>
      <c r="B470" t="s">
        <v>564</v>
      </c>
      <c r="C470" s="3">
        <v>45665</v>
      </c>
      <c r="D470" t="s">
        <v>1024</v>
      </c>
      <c r="E470">
        <v>14.99</v>
      </c>
      <c r="F470" t="s">
        <v>1110</v>
      </c>
      <c r="G470">
        <v>77</v>
      </c>
      <c r="H470" t="s">
        <v>1405</v>
      </c>
      <c r="I470" t="s">
        <v>1405</v>
      </c>
      <c r="J470">
        <v>1983</v>
      </c>
      <c r="K470">
        <v>8</v>
      </c>
      <c r="L470" t="s">
        <v>1022</v>
      </c>
      <c r="M470">
        <v>36867</v>
      </c>
      <c r="N470">
        <v>2638</v>
      </c>
      <c r="O470">
        <v>39505</v>
      </c>
      <c r="P470" t="s">
        <v>2883</v>
      </c>
    </row>
    <row r="471" spans="1:16" x14ac:dyDescent="0.25">
      <c r="A471" t="s">
        <v>2208</v>
      </c>
      <c r="B471" t="s">
        <v>651</v>
      </c>
      <c r="C471" s="3">
        <v>39938</v>
      </c>
      <c r="D471" t="s">
        <v>1024</v>
      </c>
      <c r="E471">
        <v>4.99</v>
      </c>
      <c r="F471" t="s">
        <v>1047</v>
      </c>
      <c r="G471">
        <v>21</v>
      </c>
      <c r="H471" t="s">
        <v>2209</v>
      </c>
      <c r="I471" t="s">
        <v>2209</v>
      </c>
      <c r="J471">
        <v>1979</v>
      </c>
      <c r="K471">
        <v>9</v>
      </c>
      <c r="L471" t="s">
        <v>2077</v>
      </c>
      <c r="M471">
        <v>45970</v>
      </c>
      <c r="N471">
        <v>847</v>
      </c>
      <c r="O471">
        <v>46817</v>
      </c>
      <c r="P471" t="s">
        <v>2883</v>
      </c>
    </row>
    <row r="472" spans="1:16" x14ac:dyDescent="0.25">
      <c r="A472" t="s">
        <v>2210</v>
      </c>
      <c r="B472" t="s">
        <v>832</v>
      </c>
      <c r="C472" s="3">
        <v>45550</v>
      </c>
      <c r="D472" t="s">
        <v>1024</v>
      </c>
      <c r="E472">
        <v>19.989999999999998</v>
      </c>
      <c r="F472" t="s">
        <v>1026</v>
      </c>
      <c r="G472">
        <v>45</v>
      </c>
      <c r="H472" t="s">
        <v>2211</v>
      </c>
      <c r="I472" t="s">
        <v>2211</v>
      </c>
      <c r="J472">
        <v>1971</v>
      </c>
      <c r="K472">
        <v>9</v>
      </c>
      <c r="L472" t="s">
        <v>2077</v>
      </c>
      <c r="M472">
        <v>33657</v>
      </c>
      <c r="N472">
        <v>983</v>
      </c>
      <c r="O472">
        <v>34640</v>
      </c>
      <c r="P472" t="s">
        <v>2883</v>
      </c>
    </row>
    <row r="473" spans="1:16" x14ac:dyDescent="0.25">
      <c r="A473" t="s">
        <v>1408</v>
      </c>
      <c r="B473" t="s">
        <v>697</v>
      </c>
      <c r="C473" s="3">
        <v>44322</v>
      </c>
      <c r="D473" t="s">
        <v>1024</v>
      </c>
      <c r="E473">
        <v>39.99</v>
      </c>
      <c r="F473" t="s">
        <v>1189</v>
      </c>
      <c r="G473">
        <v>56</v>
      </c>
      <c r="H473" t="s">
        <v>1233</v>
      </c>
      <c r="I473" t="s">
        <v>1233</v>
      </c>
      <c r="J473">
        <v>1966</v>
      </c>
      <c r="K473">
        <v>8</v>
      </c>
      <c r="L473" t="s">
        <v>1022</v>
      </c>
      <c r="M473">
        <v>60892</v>
      </c>
      <c r="N473">
        <v>3250</v>
      </c>
      <c r="O473">
        <v>64142</v>
      </c>
      <c r="P473" t="s">
        <v>2883</v>
      </c>
    </row>
    <row r="474" spans="1:16" x14ac:dyDescent="0.25">
      <c r="A474" t="s">
        <v>2212</v>
      </c>
      <c r="B474" t="s">
        <v>107</v>
      </c>
      <c r="C474" s="3">
        <v>45121</v>
      </c>
      <c r="D474" t="s">
        <v>1024</v>
      </c>
      <c r="E474">
        <v>19.989999999999998</v>
      </c>
      <c r="F474" t="s">
        <v>1110</v>
      </c>
      <c r="H474" t="s">
        <v>2213</v>
      </c>
      <c r="I474" t="s">
        <v>2213</v>
      </c>
      <c r="J474">
        <v>1959</v>
      </c>
      <c r="K474">
        <v>9</v>
      </c>
      <c r="L474" t="s">
        <v>2077</v>
      </c>
      <c r="M474">
        <v>28995</v>
      </c>
      <c r="N474">
        <v>1492</v>
      </c>
      <c r="O474">
        <v>30487</v>
      </c>
      <c r="P474" t="s">
        <v>2883</v>
      </c>
    </row>
    <row r="475" spans="1:16" x14ac:dyDescent="0.25">
      <c r="A475" t="s">
        <v>2653</v>
      </c>
      <c r="B475" t="s">
        <v>469</v>
      </c>
      <c r="C475" s="3">
        <v>42394</v>
      </c>
      <c r="D475" t="s">
        <v>1019</v>
      </c>
      <c r="F475" t="s">
        <v>1042</v>
      </c>
      <c r="H475" t="s">
        <v>2654</v>
      </c>
      <c r="I475" t="s">
        <v>2655</v>
      </c>
      <c r="J475">
        <v>1959</v>
      </c>
      <c r="K475">
        <v>4</v>
      </c>
      <c r="L475" t="s">
        <v>2516</v>
      </c>
      <c r="M475">
        <v>649</v>
      </c>
      <c r="N475">
        <v>1151</v>
      </c>
      <c r="O475">
        <v>1800</v>
      </c>
      <c r="P475" t="s">
        <v>2882</v>
      </c>
    </row>
    <row r="476" spans="1:16" x14ac:dyDescent="0.25">
      <c r="A476" t="s">
        <v>2560</v>
      </c>
      <c r="B476" t="s">
        <v>25</v>
      </c>
      <c r="C476" s="3">
        <v>45973</v>
      </c>
      <c r="D476" t="s">
        <v>1024</v>
      </c>
      <c r="E476">
        <v>59.99</v>
      </c>
      <c r="F476" t="s">
        <v>1047</v>
      </c>
      <c r="G476">
        <v>59</v>
      </c>
      <c r="H476" t="s">
        <v>2402</v>
      </c>
      <c r="I476" t="s">
        <v>1212</v>
      </c>
      <c r="J476">
        <v>1955</v>
      </c>
      <c r="K476">
        <v>5</v>
      </c>
      <c r="L476" t="s">
        <v>2514</v>
      </c>
      <c r="M476">
        <v>3601</v>
      </c>
      <c r="N476">
        <v>1878</v>
      </c>
      <c r="O476">
        <v>5479</v>
      </c>
      <c r="P476" t="s">
        <v>2883</v>
      </c>
    </row>
    <row r="477" spans="1:16" x14ac:dyDescent="0.25">
      <c r="A477" t="s">
        <v>1729</v>
      </c>
      <c r="B477" t="s">
        <v>184</v>
      </c>
      <c r="C477" s="3">
        <v>42095</v>
      </c>
      <c r="D477" t="s">
        <v>1024</v>
      </c>
      <c r="E477">
        <v>39.99</v>
      </c>
      <c r="F477" t="s">
        <v>1042</v>
      </c>
      <c r="G477">
        <v>38</v>
      </c>
      <c r="H477" t="s">
        <v>1304</v>
      </c>
      <c r="I477" t="s">
        <v>1324</v>
      </c>
      <c r="J477">
        <v>1954</v>
      </c>
      <c r="K477">
        <v>8</v>
      </c>
      <c r="L477" t="s">
        <v>1022</v>
      </c>
      <c r="M477">
        <v>43612</v>
      </c>
      <c r="N477">
        <v>9325</v>
      </c>
      <c r="O477">
        <v>52937</v>
      </c>
      <c r="P477" t="s">
        <v>2883</v>
      </c>
    </row>
    <row r="478" spans="1:16" x14ac:dyDescent="0.25">
      <c r="A478" t="s">
        <v>1968</v>
      </c>
      <c r="B478" t="s">
        <v>468</v>
      </c>
      <c r="C478" s="3">
        <v>43445</v>
      </c>
      <c r="D478" t="s">
        <v>1024</v>
      </c>
      <c r="E478">
        <v>19.989999999999998</v>
      </c>
      <c r="F478" t="s">
        <v>1047</v>
      </c>
      <c r="G478">
        <v>46</v>
      </c>
      <c r="H478" t="s">
        <v>1969</v>
      </c>
      <c r="I478" t="s">
        <v>1967</v>
      </c>
      <c r="J478">
        <v>1952</v>
      </c>
      <c r="K478">
        <v>8</v>
      </c>
      <c r="L478" t="s">
        <v>1022</v>
      </c>
      <c r="M478">
        <v>11619</v>
      </c>
      <c r="N478">
        <v>1393</v>
      </c>
      <c r="O478">
        <v>13012</v>
      </c>
      <c r="P478" t="s">
        <v>2883</v>
      </c>
    </row>
    <row r="479" spans="1:16" x14ac:dyDescent="0.25">
      <c r="A479" t="s">
        <v>1726</v>
      </c>
      <c r="B479" t="s">
        <v>219</v>
      </c>
      <c r="C479" s="3">
        <v>45932</v>
      </c>
      <c r="D479" t="s">
        <v>1024</v>
      </c>
      <c r="E479">
        <v>69.989999999999995</v>
      </c>
      <c r="F479" t="s">
        <v>1042</v>
      </c>
      <c r="G479">
        <v>46</v>
      </c>
      <c r="H479" t="s">
        <v>1727</v>
      </c>
      <c r="I479" t="s">
        <v>1728</v>
      </c>
      <c r="J479">
        <v>1946</v>
      </c>
      <c r="K479">
        <v>8</v>
      </c>
      <c r="L479" t="s">
        <v>1022</v>
      </c>
      <c r="M479">
        <v>9834</v>
      </c>
      <c r="N479">
        <v>690</v>
      </c>
      <c r="O479">
        <v>10524</v>
      </c>
      <c r="P479" t="s">
        <v>2883</v>
      </c>
    </row>
    <row r="480" spans="1:16" x14ac:dyDescent="0.25">
      <c r="A480" t="s">
        <v>2415</v>
      </c>
      <c r="B480" t="s">
        <v>226</v>
      </c>
      <c r="C480" s="3">
        <v>42724</v>
      </c>
      <c r="D480" t="s">
        <v>1024</v>
      </c>
      <c r="E480">
        <v>0.99</v>
      </c>
      <c r="F480" t="s">
        <v>1208</v>
      </c>
      <c r="G480">
        <v>44</v>
      </c>
      <c r="H480" t="s">
        <v>2416</v>
      </c>
      <c r="I480" t="s">
        <v>2416</v>
      </c>
      <c r="J480">
        <v>1942</v>
      </c>
      <c r="K480">
        <v>6</v>
      </c>
      <c r="L480" t="s">
        <v>2338</v>
      </c>
      <c r="M480">
        <v>953</v>
      </c>
      <c r="N480">
        <v>286</v>
      </c>
      <c r="O480">
        <v>1239</v>
      </c>
      <c r="P480" t="s">
        <v>2883</v>
      </c>
    </row>
    <row r="481" spans="1:16" x14ac:dyDescent="0.25">
      <c r="A481" t="s">
        <v>2215</v>
      </c>
      <c r="B481" t="s">
        <v>977</v>
      </c>
      <c r="C481" s="3">
        <v>44532</v>
      </c>
      <c r="D481" t="s">
        <v>1024</v>
      </c>
      <c r="E481">
        <v>19.989999999999998</v>
      </c>
      <c r="F481" t="s">
        <v>1026</v>
      </c>
      <c r="G481">
        <v>54</v>
      </c>
      <c r="H481" t="s">
        <v>2216</v>
      </c>
      <c r="I481" t="s">
        <v>2216</v>
      </c>
      <c r="J481">
        <v>1936</v>
      </c>
      <c r="K481">
        <v>9</v>
      </c>
      <c r="L481" t="s">
        <v>2077</v>
      </c>
      <c r="M481">
        <v>31579</v>
      </c>
      <c r="N481">
        <v>1280</v>
      </c>
      <c r="O481">
        <v>32859</v>
      </c>
      <c r="P481" t="s">
        <v>2883</v>
      </c>
    </row>
    <row r="482" spans="1:16" x14ac:dyDescent="0.25">
      <c r="A482" t="s">
        <v>1971</v>
      </c>
      <c r="B482" t="s">
        <v>265</v>
      </c>
      <c r="C482" s="3">
        <v>44567</v>
      </c>
      <c r="D482" t="s">
        <v>1024</v>
      </c>
      <c r="E482">
        <v>8.99</v>
      </c>
      <c r="F482" t="s">
        <v>1047</v>
      </c>
      <c r="G482">
        <v>36</v>
      </c>
      <c r="H482" t="s">
        <v>1972</v>
      </c>
      <c r="I482" t="s">
        <v>1973</v>
      </c>
      <c r="J482">
        <v>1932</v>
      </c>
      <c r="K482">
        <v>8</v>
      </c>
      <c r="L482" t="s">
        <v>1022</v>
      </c>
      <c r="M482">
        <v>5831</v>
      </c>
      <c r="N482">
        <v>605</v>
      </c>
      <c r="O482">
        <v>6436</v>
      </c>
      <c r="P482" t="s">
        <v>2883</v>
      </c>
    </row>
    <row r="483" spans="1:16" x14ac:dyDescent="0.25">
      <c r="A483" t="s">
        <v>2563</v>
      </c>
      <c r="B483" t="s">
        <v>242</v>
      </c>
      <c r="C483" s="3">
        <v>45372</v>
      </c>
      <c r="D483" t="s">
        <v>1024</v>
      </c>
      <c r="E483">
        <v>39.99</v>
      </c>
      <c r="F483" t="s">
        <v>1042</v>
      </c>
      <c r="G483">
        <v>54</v>
      </c>
      <c r="H483" t="s">
        <v>1233</v>
      </c>
      <c r="I483" t="s">
        <v>1233</v>
      </c>
      <c r="J483">
        <v>1918</v>
      </c>
      <c r="K483">
        <v>5</v>
      </c>
      <c r="L483" t="s">
        <v>2514</v>
      </c>
      <c r="M483">
        <v>39853</v>
      </c>
      <c r="N483">
        <v>20011</v>
      </c>
      <c r="O483">
        <v>59864</v>
      </c>
      <c r="P483" t="s">
        <v>2883</v>
      </c>
    </row>
    <row r="484" spans="1:16" x14ac:dyDescent="0.25">
      <c r="A484" t="s">
        <v>1605</v>
      </c>
      <c r="B484" t="s">
        <v>822</v>
      </c>
      <c r="C484" s="3">
        <v>46202</v>
      </c>
      <c r="D484" t="s">
        <v>1024</v>
      </c>
      <c r="E484">
        <v>4.99</v>
      </c>
      <c r="F484" t="s">
        <v>1110</v>
      </c>
      <c r="G484">
        <v>12</v>
      </c>
      <c r="H484" t="s">
        <v>1606</v>
      </c>
      <c r="I484" t="s">
        <v>1607</v>
      </c>
      <c r="J484">
        <v>1910</v>
      </c>
      <c r="K484">
        <v>8</v>
      </c>
      <c r="L484" t="s">
        <v>1022</v>
      </c>
      <c r="M484">
        <v>674</v>
      </c>
      <c r="N484">
        <v>59</v>
      </c>
      <c r="O484">
        <v>733</v>
      </c>
      <c r="P484" t="s">
        <v>2883</v>
      </c>
    </row>
    <row r="485" spans="1:16" x14ac:dyDescent="0.25">
      <c r="A485" t="s">
        <v>1409</v>
      </c>
      <c r="B485" t="s">
        <v>444</v>
      </c>
      <c r="C485" s="3">
        <v>45974</v>
      </c>
      <c r="D485" t="s">
        <v>1024</v>
      </c>
      <c r="E485">
        <v>69.989999999999995</v>
      </c>
      <c r="F485" t="s">
        <v>1086</v>
      </c>
      <c r="G485">
        <v>52</v>
      </c>
      <c r="H485" t="s">
        <v>1410</v>
      </c>
      <c r="I485" t="s">
        <v>1410</v>
      </c>
      <c r="J485">
        <v>1905</v>
      </c>
      <c r="K485">
        <v>8</v>
      </c>
      <c r="L485" t="s">
        <v>1022</v>
      </c>
      <c r="M485">
        <v>1954</v>
      </c>
      <c r="N485">
        <v>160</v>
      </c>
      <c r="O485">
        <v>2114</v>
      </c>
      <c r="P485" t="s">
        <v>2883</v>
      </c>
    </row>
    <row r="486" spans="1:16" x14ac:dyDescent="0.25">
      <c r="A486" t="s">
        <v>1730</v>
      </c>
      <c r="B486" t="s">
        <v>45</v>
      </c>
      <c r="C486" s="3">
        <v>43034</v>
      </c>
      <c r="D486" t="s">
        <v>1024</v>
      </c>
      <c r="E486">
        <v>59.99</v>
      </c>
      <c r="F486" t="s">
        <v>1042</v>
      </c>
      <c r="G486">
        <v>67</v>
      </c>
      <c r="H486" t="s">
        <v>1345</v>
      </c>
      <c r="I486" t="s">
        <v>1212</v>
      </c>
      <c r="J486">
        <v>1904</v>
      </c>
      <c r="K486">
        <v>8</v>
      </c>
      <c r="L486" t="s">
        <v>1022</v>
      </c>
      <c r="M486">
        <v>32261</v>
      </c>
      <c r="N486">
        <v>5955</v>
      </c>
      <c r="O486">
        <v>38216</v>
      </c>
      <c r="P486" t="s">
        <v>2883</v>
      </c>
    </row>
    <row r="487" spans="1:16" x14ac:dyDescent="0.25">
      <c r="A487" t="s">
        <v>2214</v>
      </c>
      <c r="B487" t="s">
        <v>214</v>
      </c>
      <c r="C487" s="3">
        <v>43531</v>
      </c>
      <c r="D487" t="s">
        <v>1024</v>
      </c>
      <c r="E487">
        <v>29.99</v>
      </c>
      <c r="F487" t="s">
        <v>1189</v>
      </c>
      <c r="G487">
        <v>55</v>
      </c>
      <c r="H487" t="s">
        <v>1233</v>
      </c>
      <c r="I487" t="s">
        <v>1233</v>
      </c>
      <c r="J487">
        <v>1889</v>
      </c>
      <c r="K487">
        <v>9</v>
      </c>
      <c r="L487" t="s">
        <v>2077</v>
      </c>
      <c r="M487">
        <v>49531</v>
      </c>
      <c r="N487">
        <v>2462</v>
      </c>
      <c r="O487">
        <v>51993</v>
      </c>
      <c r="P487" t="s">
        <v>2883</v>
      </c>
    </row>
    <row r="488" spans="1:16" x14ac:dyDescent="0.25">
      <c r="A488" t="s">
        <v>2051</v>
      </c>
      <c r="B488" t="s">
        <v>353</v>
      </c>
      <c r="C488" s="3">
        <v>43214</v>
      </c>
      <c r="D488" t="s">
        <v>1024</v>
      </c>
      <c r="E488">
        <v>29.99</v>
      </c>
      <c r="F488" t="s">
        <v>1047</v>
      </c>
      <c r="G488">
        <v>115</v>
      </c>
      <c r="H488" t="s">
        <v>1396</v>
      </c>
      <c r="I488" t="s">
        <v>1396</v>
      </c>
      <c r="J488">
        <v>1884</v>
      </c>
      <c r="K488">
        <v>8</v>
      </c>
      <c r="L488" t="s">
        <v>1022</v>
      </c>
      <c r="M488">
        <v>42777</v>
      </c>
      <c r="N488">
        <v>3337</v>
      </c>
      <c r="O488">
        <v>46114</v>
      </c>
      <c r="P488" t="s">
        <v>2883</v>
      </c>
    </row>
    <row r="489" spans="1:16" x14ac:dyDescent="0.25">
      <c r="A489" t="s">
        <v>2417</v>
      </c>
      <c r="B489" t="s">
        <v>54</v>
      </c>
      <c r="C489" s="3">
        <v>45460</v>
      </c>
      <c r="D489" t="s">
        <v>1024</v>
      </c>
      <c r="E489">
        <v>29.99</v>
      </c>
      <c r="F489" t="s">
        <v>1113</v>
      </c>
      <c r="G489">
        <v>52</v>
      </c>
      <c r="H489" t="s">
        <v>2418</v>
      </c>
      <c r="I489" t="s">
        <v>1212</v>
      </c>
      <c r="J489">
        <v>1882</v>
      </c>
      <c r="K489">
        <v>6</v>
      </c>
      <c r="L489" t="s">
        <v>2338</v>
      </c>
      <c r="M489">
        <v>6944</v>
      </c>
      <c r="N489">
        <v>1916</v>
      </c>
      <c r="O489">
        <v>8860</v>
      </c>
      <c r="P489" t="s">
        <v>2883</v>
      </c>
    </row>
    <row r="490" spans="1:16" x14ac:dyDescent="0.25">
      <c r="A490" t="s">
        <v>2788</v>
      </c>
      <c r="B490" t="s">
        <v>944</v>
      </c>
      <c r="C490" s="3">
        <v>43194</v>
      </c>
      <c r="D490" t="s">
        <v>1019</v>
      </c>
      <c r="F490" t="s">
        <v>1020</v>
      </c>
      <c r="H490" t="s">
        <v>2789</v>
      </c>
      <c r="I490" t="s">
        <v>2789</v>
      </c>
      <c r="J490">
        <v>1882</v>
      </c>
      <c r="K490">
        <v>5</v>
      </c>
      <c r="L490" t="s">
        <v>2514</v>
      </c>
      <c r="M490">
        <v>7467</v>
      </c>
      <c r="N490">
        <v>5002</v>
      </c>
      <c r="O490">
        <v>12469</v>
      </c>
      <c r="P490" t="s">
        <v>2882</v>
      </c>
    </row>
    <row r="491" spans="1:16" x14ac:dyDescent="0.25">
      <c r="A491" t="s">
        <v>1974</v>
      </c>
      <c r="B491" t="s">
        <v>646</v>
      </c>
      <c r="C491" s="3">
        <v>42418</v>
      </c>
      <c r="D491" t="s">
        <v>1024</v>
      </c>
      <c r="E491">
        <v>14.99</v>
      </c>
      <c r="F491" t="s">
        <v>1047</v>
      </c>
      <c r="G491">
        <v>250</v>
      </c>
      <c r="H491" t="s">
        <v>1975</v>
      </c>
      <c r="I491" t="s">
        <v>1975</v>
      </c>
      <c r="J491">
        <v>1879</v>
      </c>
      <c r="K491">
        <v>8</v>
      </c>
      <c r="L491" t="s">
        <v>1022</v>
      </c>
      <c r="M491">
        <v>28109</v>
      </c>
      <c r="N491">
        <v>1873</v>
      </c>
      <c r="O491">
        <v>29982</v>
      </c>
      <c r="P491" t="s">
        <v>2883</v>
      </c>
    </row>
    <row r="492" spans="1:16" x14ac:dyDescent="0.25">
      <c r="A492" t="s">
        <v>2651</v>
      </c>
      <c r="B492" t="s">
        <v>994</v>
      </c>
      <c r="C492" s="3">
        <v>44340</v>
      </c>
      <c r="D492" t="s">
        <v>1019</v>
      </c>
      <c r="F492" t="s">
        <v>1058</v>
      </c>
      <c r="H492" t="s">
        <v>2652</v>
      </c>
      <c r="I492" t="s">
        <v>2652</v>
      </c>
      <c r="J492">
        <v>1879</v>
      </c>
      <c r="K492">
        <v>6</v>
      </c>
      <c r="L492" t="s">
        <v>2338</v>
      </c>
      <c r="M492">
        <v>50</v>
      </c>
      <c r="N492">
        <v>16</v>
      </c>
      <c r="O492">
        <v>66</v>
      </c>
      <c r="P492" t="s">
        <v>2882</v>
      </c>
    </row>
    <row r="493" spans="1:16" x14ac:dyDescent="0.25">
      <c r="A493" t="s">
        <v>1411</v>
      </c>
      <c r="B493" t="s">
        <v>397</v>
      </c>
      <c r="C493" s="3">
        <v>44358</v>
      </c>
      <c r="D493" t="s">
        <v>1024</v>
      </c>
      <c r="E493">
        <v>39.99</v>
      </c>
      <c r="F493" t="s">
        <v>1189</v>
      </c>
      <c r="G493">
        <v>39</v>
      </c>
      <c r="H493" t="s">
        <v>1412</v>
      </c>
      <c r="I493" t="s">
        <v>1412</v>
      </c>
      <c r="J493">
        <v>1868</v>
      </c>
      <c r="K493">
        <v>8</v>
      </c>
      <c r="L493" t="s">
        <v>1022</v>
      </c>
      <c r="M493">
        <v>41799</v>
      </c>
      <c r="N493">
        <v>4003</v>
      </c>
      <c r="O493">
        <v>45802</v>
      </c>
      <c r="P493" t="s">
        <v>2883</v>
      </c>
    </row>
    <row r="494" spans="1:16" x14ac:dyDescent="0.25">
      <c r="A494" t="s">
        <v>1731</v>
      </c>
      <c r="B494" t="s">
        <v>486</v>
      </c>
      <c r="C494" s="3">
        <v>45187</v>
      </c>
      <c r="D494" t="s">
        <v>1024</v>
      </c>
      <c r="E494">
        <v>59.99</v>
      </c>
      <c r="F494" t="s">
        <v>1042</v>
      </c>
      <c r="G494">
        <v>53</v>
      </c>
      <c r="H494" t="s">
        <v>1732</v>
      </c>
      <c r="I494" t="s">
        <v>1732</v>
      </c>
      <c r="J494">
        <v>1863</v>
      </c>
      <c r="K494">
        <v>8</v>
      </c>
      <c r="L494" t="s">
        <v>1022</v>
      </c>
      <c r="M494">
        <v>33852</v>
      </c>
      <c r="N494">
        <v>2431</v>
      </c>
      <c r="O494">
        <v>36283</v>
      </c>
      <c r="P494" t="s">
        <v>2883</v>
      </c>
    </row>
    <row r="495" spans="1:16" x14ac:dyDescent="0.25">
      <c r="A495" t="s">
        <v>1718</v>
      </c>
      <c r="B495" t="s">
        <v>497</v>
      </c>
      <c r="C495" s="3">
        <v>46183</v>
      </c>
      <c r="D495" t="s">
        <v>1024</v>
      </c>
      <c r="E495">
        <v>17.989999999999998</v>
      </c>
      <c r="F495" t="s">
        <v>1042</v>
      </c>
      <c r="G495">
        <v>85</v>
      </c>
      <c r="H495" t="s">
        <v>1719</v>
      </c>
      <c r="I495" t="s">
        <v>1719</v>
      </c>
      <c r="J495">
        <v>1858</v>
      </c>
      <c r="K495">
        <v>8</v>
      </c>
      <c r="L495" t="s">
        <v>1022</v>
      </c>
      <c r="M495">
        <v>1083</v>
      </c>
      <c r="N495">
        <v>120</v>
      </c>
      <c r="O495">
        <v>1203</v>
      </c>
      <c r="P495" t="s">
        <v>2883</v>
      </c>
    </row>
    <row r="496" spans="1:16" x14ac:dyDescent="0.25">
      <c r="A496" t="s">
        <v>2690</v>
      </c>
      <c r="B496" t="s">
        <v>259</v>
      </c>
      <c r="C496" s="3">
        <v>45197</v>
      </c>
      <c r="D496" t="s">
        <v>1024</v>
      </c>
      <c r="F496" t="s">
        <v>1086</v>
      </c>
      <c r="G496">
        <v>40</v>
      </c>
      <c r="H496" t="s">
        <v>2513</v>
      </c>
      <c r="I496" t="s">
        <v>1035</v>
      </c>
      <c r="J496">
        <v>1857</v>
      </c>
      <c r="K496">
        <v>5</v>
      </c>
      <c r="L496" t="s">
        <v>2514</v>
      </c>
      <c r="M496">
        <v>20915</v>
      </c>
      <c r="N496">
        <v>15722</v>
      </c>
      <c r="O496">
        <v>36637</v>
      </c>
      <c r="P496" t="s">
        <v>2883</v>
      </c>
    </row>
    <row r="497" spans="1:16" x14ac:dyDescent="0.25">
      <c r="A497" t="s">
        <v>1414</v>
      </c>
      <c r="B497" t="s">
        <v>519</v>
      </c>
      <c r="C497" s="3">
        <v>44342</v>
      </c>
      <c r="D497" t="s">
        <v>1024</v>
      </c>
      <c r="E497">
        <v>29.99</v>
      </c>
      <c r="F497" t="s">
        <v>1110</v>
      </c>
      <c r="G497">
        <v>19</v>
      </c>
      <c r="H497" t="s">
        <v>1415</v>
      </c>
      <c r="I497" t="s">
        <v>1415</v>
      </c>
      <c r="J497">
        <v>1854</v>
      </c>
      <c r="K497">
        <v>8</v>
      </c>
      <c r="L497" t="s">
        <v>1022</v>
      </c>
      <c r="M497">
        <v>10803</v>
      </c>
      <c r="N497">
        <v>1862</v>
      </c>
      <c r="O497">
        <v>12665</v>
      </c>
      <c r="P497" t="s">
        <v>2883</v>
      </c>
    </row>
    <row r="498" spans="1:16" x14ac:dyDescent="0.25">
      <c r="A498" t="s">
        <v>2790</v>
      </c>
      <c r="B498" t="s">
        <v>367</v>
      </c>
      <c r="C498" s="3">
        <v>46190</v>
      </c>
      <c r="D498" t="s">
        <v>1019</v>
      </c>
      <c r="F498" t="s">
        <v>1020</v>
      </c>
      <c r="G498">
        <v>79</v>
      </c>
      <c r="H498" t="s">
        <v>2791</v>
      </c>
      <c r="I498" t="s">
        <v>2791</v>
      </c>
      <c r="J498">
        <v>1836</v>
      </c>
      <c r="K498">
        <v>5</v>
      </c>
      <c r="L498" t="s">
        <v>2514</v>
      </c>
      <c r="M498">
        <v>4017</v>
      </c>
      <c r="N498">
        <v>1967</v>
      </c>
      <c r="O498">
        <v>5984</v>
      </c>
      <c r="P498" t="s">
        <v>2882</v>
      </c>
    </row>
    <row r="499" spans="1:16" x14ac:dyDescent="0.25">
      <c r="A499" t="s">
        <v>2052</v>
      </c>
      <c r="B499" t="s">
        <v>883</v>
      </c>
      <c r="C499" s="3">
        <v>43634</v>
      </c>
      <c r="D499" t="s">
        <v>1024</v>
      </c>
      <c r="E499">
        <v>29.99</v>
      </c>
      <c r="F499" t="s">
        <v>1047</v>
      </c>
      <c r="G499">
        <v>34</v>
      </c>
      <c r="H499" t="s">
        <v>2053</v>
      </c>
      <c r="I499" t="s">
        <v>2053</v>
      </c>
      <c r="J499">
        <v>1832</v>
      </c>
      <c r="K499">
        <v>8</v>
      </c>
      <c r="L499" t="s">
        <v>1022</v>
      </c>
      <c r="M499">
        <v>17061</v>
      </c>
      <c r="N499">
        <v>4148</v>
      </c>
      <c r="O499">
        <v>21209</v>
      </c>
      <c r="P499" t="s">
        <v>2883</v>
      </c>
    </row>
    <row r="500" spans="1:16" x14ac:dyDescent="0.25">
      <c r="A500" t="s">
        <v>1976</v>
      </c>
      <c r="B500" t="s">
        <v>374</v>
      </c>
      <c r="C500" s="3">
        <v>46098</v>
      </c>
      <c r="D500" t="s">
        <v>1024</v>
      </c>
      <c r="E500">
        <v>29.99</v>
      </c>
      <c r="F500" t="s">
        <v>1047</v>
      </c>
      <c r="G500">
        <v>94</v>
      </c>
      <c r="H500" t="s">
        <v>1977</v>
      </c>
      <c r="I500" t="s">
        <v>1978</v>
      </c>
      <c r="J500">
        <v>1830</v>
      </c>
      <c r="K500">
        <v>8</v>
      </c>
      <c r="L500" t="s">
        <v>1022</v>
      </c>
      <c r="M500">
        <v>9018</v>
      </c>
      <c r="N500">
        <v>1153</v>
      </c>
      <c r="O500">
        <v>10171</v>
      </c>
      <c r="P500" t="s">
        <v>2883</v>
      </c>
    </row>
    <row r="501" spans="1:16" x14ac:dyDescent="0.25">
      <c r="A501" t="s">
        <v>2419</v>
      </c>
      <c r="B501" t="s">
        <v>434</v>
      </c>
      <c r="C501" s="3">
        <v>46059</v>
      </c>
      <c r="D501" t="s">
        <v>1024</v>
      </c>
      <c r="E501">
        <v>19.989999999999998</v>
      </c>
      <c r="F501" t="s">
        <v>1042</v>
      </c>
      <c r="G501">
        <v>23</v>
      </c>
      <c r="H501" t="s">
        <v>2420</v>
      </c>
      <c r="I501" t="s">
        <v>2421</v>
      </c>
      <c r="J501">
        <v>1827</v>
      </c>
      <c r="K501">
        <v>6</v>
      </c>
      <c r="L501" t="s">
        <v>2338</v>
      </c>
      <c r="M501">
        <v>3814</v>
      </c>
      <c r="N501">
        <v>1369</v>
      </c>
      <c r="O501">
        <v>5183</v>
      </c>
      <c r="P501" t="s">
        <v>2883</v>
      </c>
    </row>
    <row r="502" spans="1:16" x14ac:dyDescent="0.25">
      <c r="A502" t="s">
        <v>2221</v>
      </c>
      <c r="B502" t="s">
        <v>485</v>
      </c>
      <c r="C502" s="3">
        <v>44418</v>
      </c>
      <c r="D502" t="s">
        <v>1024</v>
      </c>
      <c r="E502">
        <v>29.99</v>
      </c>
      <c r="F502" t="s">
        <v>1047</v>
      </c>
      <c r="G502">
        <v>76</v>
      </c>
      <c r="H502" t="s">
        <v>1037</v>
      </c>
      <c r="I502" t="s">
        <v>1037</v>
      </c>
      <c r="J502">
        <v>1814</v>
      </c>
      <c r="K502">
        <v>9</v>
      </c>
      <c r="L502" t="s">
        <v>2077</v>
      </c>
      <c r="M502">
        <v>15453</v>
      </c>
      <c r="N502">
        <v>603</v>
      </c>
      <c r="O502">
        <v>16056</v>
      </c>
      <c r="P502" t="s">
        <v>2883</v>
      </c>
    </row>
    <row r="503" spans="1:16" x14ac:dyDescent="0.25">
      <c r="A503" t="s">
        <v>2656</v>
      </c>
      <c r="B503" t="s">
        <v>460</v>
      </c>
      <c r="C503" s="3">
        <v>45877</v>
      </c>
      <c r="D503" t="s">
        <v>1019</v>
      </c>
      <c r="F503" t="s">
        <v>1026</v>
      </c>
      <c r="H503" t="s">
        <v>2657</v>
      </c>
      <c r="I503" t="s">
        <v>2657</v>
      </c>
      <c r="J503">
        <v>1814</v>
      </c>
      <c r="K503">
        <v>6</v>
      </c>
      <c r="L503" t="s">
        <v>2338</v>
      </c>
      <c r="M503">
        <v>260</v>
      </c>
      <c r="N503">
        <v>68</v>
      </c>
      <c r="O503">
        <v>328</v>
      </c>
      <c r="P503" t="s">
        <v>2882</v>
      </c>
    </row>
    <row r="504" spans="1:16" x14ac:dyDescent="0.25">
      <c r="A504" t="s">
        <v>2794</v>
      </c>
      <c r="B504" t="s">
        <v>663</v>
      </c>
      <c r="C504" s="3">
        <v>45524</v>
      </c>
      <c r="D504" t="s">
        <v>1019</v>
      </c>
      <c r="F504" t="s">
        <v>1020</v>
      </c>
      <c r="H504" t="s">
        <v>2795</v>
      </c>
      <c r="I504" t="s">
        <v>2795</v>
      </c>
      <c r="J504">
        <v>1813</v>
      </c>
      <c r="K504">
        <v>6</v>
      </c>
      <c r="L504" t="s">
        <v>2338</v>
      </c>
      <c r="M504">
        <v>8844</v>
      </c>
      <c r="N504">
        <v>3480</v>
      </c>
      <c r="O504">
        <v>12324</v>
      </c>
      <c r="P504" t="s">
        <v>2882</v>
      </c>
    </row>
    <row r="505" spans="1:16" x14ac:dyDescent="0.25">
      <c r="A505" t="s">
        <v>2219</v>
      </c>
      <c r="B505" t="s">
        <v>197</v>
      </c>
      <c r="C505" s="3">
        <v>43318</v>
      </c>
      <c r="D505" t="s">
        <v>1024</v>
      </c>
      <c r="E505">
        <v>24.99</v>
      </c>
      <c r="F505" t="s">
        <v>1208</v>
      </c>
      <c r="G505">
        <v>121</v>
      </c>
      <c r="H505" t="s">
        <v>2220</v>
      </c>
      <c r="I505" t="s">
        <v>2220</v>
      </c>
      <c r="J505">
        <v>1808</v>
      </c>
      <c r="K505">
        <v>9</v>
      </c>
      <c r="L505" t="s">
        <v>2077</v>
      </c>
      <c r="M505">
        <v>49326</v>
      </c>
      <c r="N505">
        <v>1830</v>
      </c>
      <c r="O505">
        <v>51156</v>
      </c>
      <c r="P505" t="s">
        <v>2883</v>
      </c>
    </row>
    <row r="506" spans="1:16" x14ac:dyDescent="0.25">
      <c r="A506" t="s">
        <v>1115</v>
      </c>
      <c r="B506" t="s">
        <v>151</v>
      </c>
      <c r="C506" s="3">
        <v>45358</v>
      </c>
      <c r="D506" t="s">
        <v>1024</v>
      </c>
      <c r="F506" t="s">
        <v>1020</v>
      </c>
      <c r="H506" t="s">
        <v>1116</v>
      </c>
      <c r="I506" t="s">
        <v>1035</v>
      </c>
      <c r="J506">
        <v>1806</v>
      </c>
      <c r="K506">
        <v>8</v>
      </c>
      <c r="L506" t="s">
        <v>1022</v>
      </c>
      <c r="M506">
        <v>3416</v>
      </c>
      <c r="N506">
        <v>304</v>
      </c>
      <c r="O506">
        <v>3720</v>
      </c>
      <c r="P506" t="s">
        <v>2883</v>
      </c>
    </row>
    <row r="507" spans="1:16" x14ac:dyDescent="0.25">
      <c r="A507" t="s">
        <v>1413</v>
      </c>
      <c r="B507" t="s">
        <v>315</v>
      </c>
      <c r="C507" s="3">
        <v>43423</v>
      </c>
      <c r="D507" t="s">
        <v>1024</v>
      </c>
      <c r="E507">
        <v>17.989999999999998</v>
      </c>
      <c r="F507" t="s">
        <v>1110</v>
      </c>
      <c r="G507">
        <v>23</v>
      </c>
      <c r="H507" t="s">
        <v>1214</v>
      </c>
      <c r="I507" t="s">
        <v>1214</v>
      </c>
      <c r="J507">
        <v>1805</v>
      </c>
      <c r="K507">
        <v>8</v>
      </c>
      <c r="L507" t="s">
        <v>1022</v>
      </c>
      <c r="M507">
        <v>26069</v>
      </c>
      <c r="N507">
        <v>1705</v>
      </c>
      <c r="O507">
        <v>27774</v>
      </c>
      <c r="P507" t="s">
        <v>2883</v>
      </c>
    </row>
    <row r="508" spans="1:16" x14ac:dyDescent="0.25">
      <c r="A508" t="s">
        <v>2422</v>
      </c>
      <c r="B508" t="s">
        <v>895</v>
      </c>
      <c r="C508" s="3">
        <v>44949</v>
      </c>
      <c r="D508" t="s">
        <v>1024</v>
      </c>
      <c r="E508">
        <v>59.99</v>
      </c>
      <c r="F508" t="s">
        <v>1113</v>
      </c>
      <c r="G508">
        <v>50</v>
      </c>
      <c r="H508" t="s">
        <v>2423</v>
      </c>
      <c r="I508" t="s">
        <v>1212</v>
      </c>
      <c r="J508">
        <v>1804</v>
      </c>
      <c r="K508">
        <v>6</v>
      </c>
      <c r="L508" t="s">
        <v>2338</v>
      </c>
      <c r="M508">
        <v>14731</v>
      </c>
      <c r="N508">
        <v>5503</v>
      </c>
      <c r="O508">
        <v>20234</v>
      </c>
      <c r="P508" t="s">
        <v>2883</v>
      </c>
    </row>
    <row r="509" spans="1:16" x14ac:dyDescent="0.25">
      <c r="A509" t="s">
        <v>1416</v>
      </c>
      <c r="B509" t="s">
        <v>790</v>
      </c>
      <c r="C509" s="3">
        <v>43993</v>
      </c>
      <c r="D509" t="s">
        <v>1024</v>
      </c>
      <c r="E509">
        <v>39.99</v>
      </c>
      <c r="F509" t="s">
        <v>1113</v>
      </c>
      <c r="G509">
        <v>43</v>
      </c>
      <c r="H509" t="s">
        <v>1277</v>
      </c>
      <c r="I509" t="s">
        <v>1035</v>
      </c>
      <c r="J509">
        <v>1799</v>
      </c>
      <c r="K509">
        <v>8</v>
      </c>
      <c r="L509" t="s">
        <v>1022</v>
      </c>
      <c r="M509">
        <v>51513</v>
      </c>
      <c r="N509">
        <v>7402</v>
      </c>
      <c r="O509">
        <v>58915</v>
      </c>
      <c r="P509" t="s">
        <v>2883</v>
      </c>
    </row>
    <row r="510" spans="1:16" x14ac:dyDescent="0.25">
      <c r="A510" t="s">
        <v>2424</v>
      </c>
      <c r="B510" t="s">
        <v>416</v>
      </c>
      <c r="C510" s="3">
        <v>42032</v>
      </c>
      <c r="D510" t="s">
        <v>1024</v>
      </c>
      <c r="E510">
        <v>14.99</v>
      </c>
      <c r="F510" t="s">
        <v>1047</v>
      </c>
      <c r="G510">
        <v>13</v>
      </c>
      <c r="H510" t="s">
        <v>2425</v>
      </c>
      <c r="I510" t="s">
        <v>2426</v>
      </c>
      <c r="J510">
        <v>1799</v>
      </c>
      <c r="K510">
        <v>6</v>
      </c>
      <c r="L510" t="s">
        <v>2338</v>
      </c>
      <c r="M510">
        <v>6267</v>
      </c>
      <c r="N510">
        <v>1852</v>
      </c>
      <c r="O510">
        <v>8119</v>
      </c>
      <c r="P510" t="s">
        <v>2883</v>
      </c>
    </row>
    <row r="511" spans="1:16" x14ac:dyDescent="0.25">
      <c r="A511" t="s">
        <v>2688</v>
      </c>
      <c r="B511" t="s">
        <v>799</v>
      </c>
      <c r="C511" s="3">
        <v>43796</v>
      </c>
      <c r="D511" t="s">
        <v>1019</v>
      </c>
      <c r="F511" t="s">
        <v>1026</v>
      </c>
      <c r="H511" t="s">
        <v>2689</v>
      </c>
      <c r="I511" t="s">
        <v>2689</v>
      </c>
      <c r="J511">
        <v>1796</v>
      </c>
      <c r="K511">
        <v>5</v>
      </c>
      <c r="L511" t="s">
        <v>2514</v>
      </c>
      <c r="M511">
        <v>5065</v>
      </c>
      <c r="N511">
        <v>3202</v>
      </c>
      <c r="O511">
        <v>8267</v>
      </c>
      <c r="P511" t="s">
        <v>2882</v>
      </c>
    </row>
    <row r="512" spans="1:16" x14ac:dyDescent="0.25">
      <c r="A512" t="s">
        <v>2658</v>
      </c>
      <c r="B512" t="s">
        <v>402</v>
      </c>
      <c r="C512" s="3">
        <v>45212</v>
      </c>
      <c r="D512" t="s">
        <v>1019</v>
      </c>
      <c r="F512" t="s">
        <v>1110</v>
      </c>
      <c r="H512" t="s">
        <v>2407</v>
      </c>
      <c r="I512" t="s">
        <v>2408</v>
      </c>
      <c r="J512">
        <v>1795</v>
      </c>
      <c r="K512">
        <v>5</v>
      </c>
      <c r="L512" t="s">
        <v>2514</v>
      </c>
      <c r="M512">
        <v>1096</v>
      </c>
      <c r="N512">
        <v>561</v>
      </c>
      <c r="O512">
        <v>1657</v>
      </c>
      <c r="P512" t="s">
        <v>2882</v>
      </c>
    </row>
    <row r="513" spans="1:16" x14ac:dyDescent="0.25">
      <c r="A513" t="s">
        <v>1193</v>
      </c>
      <c r="B513" t="s">
        <v>89</v>
      </c>
      <c r="C513" s="3">
        <v>44060</v>
      </c>
      <c r="D513" t="s">
        <v>1019</v>
      </c>
      <c r="F513" t="s">
        <v>1020</v>
      </c>
      <c r="H513" t="s">
        <v>1194</v>
      </c>
      <c r="I513" t="s">
        <v>1194</v>
      </c>
      <c r="J513">
        <v>1788</v>
      </c>
      <c r="K513">
        <v>8</v>
      </c>
      <c r="L513" t="s">
        <v>1022</v>
      </c>
      <c r="M513">
        <v>4833</v>
      </c>
      <c r="N513">
        <v>746</v>
      </c>
      <c r="O513">
        <v>5579</v>
      </c>
      <c r="P513" t="s">
        <v>2882</v>
      </c>
    </row>
    <row r="514" spans="1:16" x14ac:dyDescent="0.25">
      <c r="A514" t="s">
        <v>2222</v>
      </c>
      <c r="B514" t="s">
        <v>144</v>
      </c>
      <c r="C514" s="3">
        <v>39287</v>
      </c>
      <c r="D514" t="s">
        <v>1024</v>
      </c>
      <c r="E514">
        <v>9.99</v>
      </c>
      <c r="F514" t="s">
        <v>1047</v>
      </c>
      <c r="H514" t="s">
        <v>1122</v>
      </c>
      <c r="I514" t="s">
        <v>1123</v>
      </c>
      <c r="J514">
        <v>1786</v>
      </c>
      <c r="K514">
        <v>9</v>
      </c>
      <c r="L514" t="s">
        <v>2077</v>
      </c>
      <c r="M514">
        <v>3537</v>
      </c>
      <c r="N514">
        <v>133</v>
      </c>
      <c r="O514">
        <v>3670</v>
      </c>
      <c r="P514" t="s">
        <v>2883</v>
      </c>
    </row>
    <row r="515" spans="1:16" x14ac:dyDescent="0.25">
      <c r="A515" t="s">
        <v>2217</v>
      </c>
      <c r="B515" t="s">
        <v>538</v>
      </c>
      <c r="C515" s="3">
        <v>45746</v>
      </c>
      <c r="D515" t="s">
        <v>1024</v>
      </c>
      <c r="E515">
        <v>4.99</v>
      </c>
      <c r="F515" t="s">
        <v>1208</v>
      </c>
      <c r="G515">
        <v>14</v>
      </c>
      <c r="H515" t="s">
        <v>2218</v>
      </c>
      <c r="I515" t="s">
        <v>2218</v>
      </c>
      <c r="J515">
        <v>1782</v>
      </c>
      <c r="K515">
        <v>9</v>
      </c>
      <c r="L515" t="s">
        <v>2077</v>
      </c>
      <c r="M515">
        <v>647</v>
      </c>
      <c r="N515">
        <v>26</v>
      </c>
      <c r="O515">
        <v>673</v>
      </c>
      <c r="P515" t="s">
        <v>2883</v>
      </c>
    </row>
    <row r="516" spans="1:16" x14ac:dyDescent="0.25">
      <c r="A516" t="s">
        <v>2792</v>
      </c>
      <c r="B516" t="s">
        <v>510</v>
      </c>
      <c r="C516" s="3">
        <v>45160</v>
      </c>
      <c r="D516" t="s">
        <v>1019</v>
      </c>
      <c r="F516" t="s">
        <v>1020</v>
      </c>
      <c r="H516" t="s">
        <v>2793</v>
      </c>
      <c r="I516" t="s">
        <v>1002</v>
      </c>
      <c r="J516">
        <v>1774</v>
      </c>
      <c r="K516">
        <v>5</v>
      </c>
      <c r="L516" t="s">
        <v>2514</v>
      </c>
      <c r="M516">
        <v>13504</v>
      </c>
      <c r="N516">
        <v>6486</v>
      </c>
      <c r="O516">
        <v>19990</v>
      </c>
      <c r="P516" t="s">
        <v>2882</v>
      </c>
    </row>
    <row r="517" spans="1:16" x14ac:dyDescent="0.25">
      <c r="A517" t="s">
        <v>1417</v>
      </c>
      <c r="B517" t="s">
        <v>526</v>
      </c>
      <c r="C517" s="3">
        <v>42248</v>
      </c>
      <c r="D517" t="s">
        <v>1024</v>
      </c>
      <c r="E517">
        <v>29.99</v>
      </c>
      <c r="F517" t="s">
        <v>1113</v>
      </c>
      <c r="G517">
        <v>42</v>
      </c>
      <c r="H517" t="s">
        <v>1418</v>
      </c>
      <c r="I517" t="s">
        <v>1418</v>
      </c>
      <c r="J517">
        <v>1767</v>
      </c>
      <c r="K517">
        <v>8</v>
      </c>
      <c r="L517" t="s">
        <v>1022</v>
      </c>
      <c r="M517">
        <v>55307</v>
      </c>
      <c r="N517">
        <v>5061</v>
      </c>
      <c r="O517">
        <v>60368</v>
      </c>
      <c r="P517" t="s">
        <v>2883</v>
      </c>
    </row>
    <row r="518" spans="1:16" x14ac:dyDescent="0.25">
      <c r="A518" t="s">
        <v>1426</v>
      </c>
      <c r="B518" t="s">
        <v>679</v>
      </c>
      <c r="C518" s="3">
        <v>45561</v>
      </c>
      <c r="D518" t="s">
        <v>1024</v>
      </c>
      <c r="E518">
        <v>24.99</v>
      </c>
      <c r="F518" t="s">
        <v>1113</v>
      </c>
      <c r="G518">
        <v>45</v>
      </c>
      <c r="H518" t="s">
        <v>1427</v>
      </c>
      <c r="I518" t="s">
        <v>1428</v>
      </c>
      <c r="J518">
        <v>1764</v>
      </c>
      <c r="K518">
        <v>8</v>
      </c>
      <c r="L518" t="s">
        <v>1022</v>
      </c>
      <c r="M518">
        <v>8805</v>
      </c>
      <c r="N518">
        <v>1493</v>
      </c>
      <c r="O518">
        <v>10298</v>
      </c>
      <c r="P518" t="s">
        <v>2883</v>
      </c>
    </row>
    <row r="519" spans="1:16" x14ac:dyDescent="0.25">
      <c r="A519" t="s">
        <v>2226</v>
      </c>
      <c r="B519" t="s">
        <v>921</v>
      </c>
      <c r="C519" s="3">
        <v>45720</v>
      </c>
      <c r="D519" t="s">
        <v>1024</v>
      </c>
      <c r="E519">
        <v>29.99</v>
      </c>
      <c r="F519" t="s">
        <v>1047</v>
      </c>
      <c r="G519">
        <v>49</v>
      </c>
      <c r="H519" t="s">
        <v>1554</v>
      </c>
      <c r="I519" t="s">
        <v>1555</v>
      </c>
      <c r="J519">
        <v>1753</v>
      </c>
      <c r="K519">
        <v>9</v>
      </c>
      <c r="L519" t="s">
        <v>2077</v>
      </c>
      <c r="M519">
        <v>5799</v>
      </c>
      <c r="N519">
        <v>268</v>
      </c>
      <c r="O519">
        <v>6067</v>
      </c>
      <c r="P519" t="s">
        <v>2883</v>
      </c>
    </row>
    <row r="520" spans="1:16" x14ac:dyDescent="0.25">
      <c r="A520" t="s">
        <v>1419</v>
      </c>
      <c r="B520" t="s">
        <v>702</v>
      </c>
      <c r="C520" s="3">
        <v>42409</v>
      </c>
      <c r="D520" t="s">
        <v>1024</v>
      </c>
      <c r="E520">
        <v>29.99</v>
      </c>
      <c r="F520" t="s">
        <v>1113</v>
      </c>
      <c r="G520">
        <v>143</v>
      </c>
      <c r="H520" t="s">
        <v>1420</v>
      </c>
      <c r="I520" t="s">
        <v>1420</v>
      </c>
      <c r="J520">
        <v>1741</v>
      </c>
      <c r="K520">
        <v>8</v>
      </c>
      <c r="L520" t="s">
        <v>1022</v>
      </c>
      <c r="M520">
        <v>38182</v>
      </c>
      <c r="N520">
        <v>3089</v>
      </c>
      <c r="O520">
        <v>41271</v>
      </c>
      <c r="P520" t="s">
        <v>2883</v>
      </c>
    </row>
    <row r="521" spans="1:16" x14ac:dyDescent="0.25">
      <c r="A521" t="s">
        <v>2564</v>
      </c>
      <c r="B521" t="s">
        <v>789</v>
      </c>
      <c r="C521" s="3">
        <v>45043</v>
      </c>
      <c r="D521" t="s">
        <v>1024</v>
      </c>
      <c r="E521">
        <v>69.989999999999995</v>
      </c>
      <c r="F521" t="s">
        <v>1113</v>
      </c>
      <c r="G521">
        <v>53</v>
      </c>
      <c r="H521" t="s">
        <v>2565</v>
      </c>
      <c r="I521" t="s">
        <v>1035</v>
      </c>
      <c r="J521">
        <v>1741</v>
      </c>
      <c r="K521">
        <v>5</v>
      </c>
      <c r="L521" t="s">
        <v>2514</v>
      </c>
      <c r="M521">
        <v>36930</v>
      </c>
      <c r="N521">
        <v>16438</v>
      </c>
      <c r="O521">
        <v>53368</v>
      </c>
      <c r="P521" t="s">
        <v>2883</v>
      </c>
    </row>
    <row r="522" spans="1:16" x14ac:dyDescent="0.25">
      <c r="A522" t="s">
        <v>1979</v>
      </c>
      <c r="B522" t="s">
        <v>605</v>
      </c>
      <c r="C522" s="3">
        <v>46196</v>
      </c>
      <c r="D522" t="s">
        <v>1024</v>
      </c>
      <c r="E522">
        <v>11.99</v>
      </c>
      <c r="F522" t="s">
        <v>1047</v>
      </c>
      <c r="G522">
        <v>50</v>
      </c>
      <c r="H522" t="s">
        <v>1980</v>
      </c>
      <c r="I522" t="s">
        <v>1980</v>
      </c>
      <c r="J522">
        <v>1734</v>
      </c>
      <c r="K522">
        <v>8</v>
      </c>
      <c r="L522" t="s">
        <v>1022</v>
      </c>
      <c r="M522">
        <v>1572</v>
      </c>
      <c r="N522">
        <v>262</v>
      </c>
      <c r="O522">
        <v>1834</v>
      </c>
      <c r="P522" t="s">
        <v>2883</v>
      </c>
    </row>
    <row r="523" spans="1:16" x14ac:dyDescent="0.25">
      <c r="A523" t="s">
        <v>2566</v>
      </c>
      <c r="B523" t="s">
        <v>553</v>
      </c>
      <c r="C523" s="3">
        <v>44586</v>
      </c>
      <c r="D523" t="s">
        <v>1024</v>
      </c>
      <c r="E523">
        <v>39.99</v>
      </c>
      <c r="F523" t="s">
        <v>1042</v>
      </c>
      <c r="G523">
        <v>187</v>
      </c>
      <c r="H523" t="s">
        <v>2567</v>
      </c>
      <c r="I523" t="s">
        <v>2567</v>
      </c>
      <c r="J523">
        <v>1734</v>
      </c>
      <c r="K523">
        <v>5</v>
      </c>
      <c r="L523" t="s">
        <v>2514</v>
      </c>
      <c r="M523">
        <v>5885</v>
      </c>
      <c r="N523">
        <v>3849</v>
      </c>
      <c r="O523">
        <v>9734</v>
      </c>
      <c r="P523" t="s">
        <v>2883</v>
      </c>
    </row>
    <row r="524" spans="1:16" x14ac:dyDescent="0.25">
      <c r="A524" t="s">
        <v>2223</v>
      </c>
      <c r="B524" t="s">
        <v>471</v>
      </c>
      <c r="C524" s="3">
        <v>41800</v>
      </c>
      <c r="D524" t="s">
        <v>1024</v>
      </c>
      <c r="E524">
        <v>9.99</v>
      </c>
      <c r="F524" t="s">
        <v>2224</v>
      </c>
      <c r="H524" t="s">
        <v>2225</v>
      </c>
      <c r="I524" t="s">
        <v>2225</v>
      </c>
      <c r="J524">
        <v>1733</v>
      </c>
      <c r="K524">
        <v>9</v>
      </c>
      <c r="L524" t="s">
        <v>2077</v>
      </c>
      <c r="M524">
        <v>3576</v>
      </c>
      <c r="N524">
        <v>122</v>
      </c>
      <c r="O524">
        <v>3698</v>
      </c>
      <c r="P524" t="s">
        <v>2883</v>
      </c>
    </row>
    <row r="525" spans="1:16" x14ac:dyDescent="0.25">
      <c r="A525" t="s">
        <v>1844</v>
      </c>
      <c r="B525" t="s">
        <v>176</v>
      </c>
      <c r="C525" s="3">
        <v>40953</v>
      </c>
      <c r="D525" t="s">
        <v>1019</v>
      </c>
      <c r="F525" t="s">
        <v>1020</v>
      </c>
      <c r="G525">
        <v>161</v>
      </c>
      <c r="H525" t="s">
        <v>1845</v>
      </c>
      <c r="I525" t="s">
        <v>1846</v>
      </c>
      <c r="J525">
        <v>1730</v>
      </c>
      <c r="K525">
        <v>8</v>
      </c>
      <c r="L525" t="s">
        <v>1022</v>
      </c>
      <c r="M525">
        <v>43442</v>
      </c>
      <c r="N525">
        <v>4298</v>
      </c>
      <c r="O525">
        <v>47740</v>
      </c>
      <c r="P525" t="s">
        <v>2882</v>
      </c>
    </row>
    <row r="526" spans="1:16" x14ac:dyDescent="0.25">
      <c r="A526" t="s">
        <v>1421</v>
      </c>
      <c r="B526" t="s">
        <v>552</v>
      </c>
      <c r="C526" s="3">
        <v>43578</v>
      </c>
      <c r="D526" t="s">
        <v>1024</v>
      </c>
      <c r="E526">
        <v>49.99</v>
      </c>
      <c r="F526" t="s">
        <v>1189</v>
      </c>
      <c r="G526">
        <v>58</v>
      </c>
      <c r="H526" t="s">
        <v>1422</v>
      </c>
      <c r="I526" t="s">
        <v>1423</v>
      </c>
      <c r="J526">
        <v>1726</v>
      </c>
      <c r="K526">
        <v>8</v>
      </c>
      <c r="L526" t="s">
        <v>1022</v>
      </c>
      <c r="M526">
        <v>31359</v>
      </c>
      <c r="N526">
        <v>5001</v>
      </c>
      <c r="O526">
        <v>36360</v>
      </c>
      <c r="P526" t="s">
        <v>2883</v>
      </c>
    </row>
    <row r="527" spans="1:16" x14ac:dyDescent="0.25">
      <c r="A527" t="s">
        <v>1843</v>
      </c>
      <c r="B527" t="s">
        <v>347</v>
      </c>
      <c r="C527" s="3">
        <v>44264</v>
      </c>
      <c r="D527" t="s">
        <v>1024</v>
      </c>
      <c r="F527" t="s">
        <v>1178</v>
      </c>
      <c r="G527">
        <v>178</v>
      </c>
      <c r="H527" t="s">
        <v>1220</v>
      </c>
      <c r="I527" t="s">
        <v>1106</v>
      </c>
      <c r="J527">
        <v>1720</v>
      </c>
      <c r="K527">
        <v>8</v>
      </c>
      <c r="L527" t="s">
        <v>1022</v>
      </c>
      <c r="M527">
        <v>51877</v>
      </c>
      <c r="N527">
        <v>6164</v>
      </c>
      <c r="O527">
        <v>58041</v>
      </c>
      <c r="P527" t="s">
        <v>2883</v>
      </c>
    </row>
    <row r="528" spans="1:16" x14ac:dyDescent="0.25">
      <c r="A528" t="s">
        <v>1849</v>
      </c>
      <c r="B528" t="s">
        <v>617</v>
      </c>
      <c r="C528" s="3">
        <v>45182</v>
      </c>
      <c r="D528" t="s">
        <v>1019</v>
      </c>
      <c r="F528" t="s">
        <v>1067</v>
      </c>
      <c r="G528">
        <v>5</v>
      </c>
      <c r="H528" t="s">
        <v>1850</v>
      </c>
      <c r="I528" t="s">
        <v>1850</v>
      </c>
      <c r="J528">
        <v>1719</v>
      </c>
      <c r="K528">
        <v>8</v>
      </c>
      <c r="L528" t="s">
        <v>1022</v>
      </c>
      <c r="M528">
        <v>222</v>
      </c>
      <c r="N528">
        <v>7</v>
      </c>
      <c r="O528">
        <v>229</v>
      </c>
      <c r="P528" t="s">
        <v>2882</v>
      </c>
    </row>
    <row r="529" spans="1:16" x14ac:dyDescent="0.25">
      <c r="A529" t="s">
        <v>2571</v>
      </c>
      <c r="B529" t="s">
        <v>118</v>
      </c>
      <c r="C529" s="3">
        <v>45597</v>
      </c>
      <c r="D529" t="s">
        <v>1024</v>
      </c>
      <c r="E529">
        <v>69.989999999999995</v>
      </c>
      <c r="F529" t="s">
        <v>1189</v>
      </c>
      <c r="G529">
        <v>44</v>
      </c>
      <c r="H529" t="s">
        <v>1271</v>
      </c>
      <c r="I529" t="s">
        <v>1272</v>
      </c>
      <c r="J529">
        <v>1715</v>
      </c>
      <c r="K529">
        <v>5</v>
      </c>
      <c r="L529" t="s">
        <v>2514</v>
      </c>
      <c r="M529">
        <v>3833</v>
      </c>
      <c r="N529">
        <v>5555</v>
      </c>
      <c r="O529">
        <v>9388</v>
      </c>
      <c r="P529" t="s">
        <v>2883</v>
      </c>
    </row>
    <row r="530" spans="1:16" x14ac:dyDescent="0.25">
      <c r="A530" t="s">
        <v>1424</v>
      </c>
      <c r="B530" t="s">
        <v>576</v>
      </c>
      <c r="C530" s="3">
        <v>43986</v>
      </c>
      <c r="D530" t="s">
        <v>1024</v>
      </c>
      <c r="E530">
        <v>69.989999999999995</v>
      </c>
      <c r="F530" t="s">
        <v>1086</v>
      </c>
      <c r="G530">
        <v>42</v>
      </c>
      <c r="H530" t="s">
        <v>1425</v>
      </c>
      <c r="I530" t="s">
        <v>1035</v>
      </c>
      <c r="J530">
        <v>1714</v>
      </c>
      <c r="K530">
        <v>8</v>
      </c>
      <c r="L530" t="s">
        <v>1022</v>
      </c>
      <c r="M530">
        <v>51909</v>
      </c>
      <c r="N530">
        <v>9525</v>
      </c>
      <c r="O530">
        <v>61434</v>
      </c>
      <c r="P530" t="s">
        <v>2883</v>
      </c>
    </row>
    <row r="531" spans="1:16" x14ac:dyDescent="0.25">
      <c r="A531" t="s">
        <v>2228</v>
      </c>
      <c r="B531" t="s">
        <v>791</v>
      </c>
      <c r="C531" s="3">
        <v>40323</v>
      </c>
      <c r="D531" t="s">
        <v>1024</v>
      </c>
      <c r="E531">
        <v>19.989999999999998</v>
      </c>
      <c r="F531" t="s">
        <v>1047</v>
      </c>
      <c r="H531" t="s">
        <v>2029</v>
      </c>
      <c r="I531" t="s">
        <v>2229</v>
      </c>
      <c r="J531">
        <v>1714</v>
      </c>
      <c r="K531">
        <v>9</v>
      </c>
      <c r="L531" t="s">
        <v>2077</v>
      </c>
      <c r="M531">
        <v>29847</v>
      </c>
      <c r="N531">
        <v>698</v>
      </c>
      <c r="O531">
        <v>30545</v>
      </c>
      <c r="P531" t="s">
        <v>2883</v>
      </c>
    </row>
    <row r="532" spans="1:16" x14ac:dyDescent="0.25">
      <c r="A532" t="s">
        <v>2227</v>
      </c>
      <c r="B532" t="s">
        <v>636</v>
      </c>
      <c r="C532" s="3">
        <v>43995</v>
      </c>
      <c r="D532" t="s">
        <v>1024</v>
      </c>
      <c r="E532">
        <v>19.989999999999998</v>
      </c>
      <c r="F532" t="s">
        <v>1042</v>
      </c>
      <c r="G532">
        <v>50</v>
      </c>
      <c r="H532" t="s">
        <v>1717</v>
      </c>
      <c r="I532" t="s">
        <v>1555</v>
      </c>
      <c r="J532">
        <v>1711</v>
      </c>
      <c r="K532">
        <v>9</v>
      </c>
      <c r="L532" t="s">
        <v>2077</v>
      </c>
      <c r="M532">
        <v>51789</v>
      </c>
      <c r="N532">
        <v>1454</v>
      </c>
      <c r="O532">
        <v>53243</v>
      </c>
      <c r="P532" t="s">
        <v>2883</v>
      </c>
    </row>
    <row r="533" spans="1:16" x14ac:dyDescent="0.25">
      <c r="A533" t="s">
        <v>1438</v>
      </c>
      <c r="B533" t="s">
        <v>51</v>
      </c>
      <c r="C533" s="3">
        <v>43501</v>
      </c>
      <c r="D533" t="s">
        <v>1024</v>
      </c>
      <c r="E533">
        <v>29.99</v>
      </c>
      <c r="F533" t="s">
        <v>1208</v>
      </c>
      <c r="G533">
        <v>56</v>
      </c>
      <c r="H533" t="s">
        <v>1439</v>
      </c>
      <c r="I533" t="s">
        <v>1439</v>
      </c>
      <c r="J533">
        <v>1708</v>
      </c>
      <c r="K533">
        <v>8</v>
      </c>
      <c r="L533" t="s">
        <v>1022</v>
      </c>
      <c r="M533">
        <v>57737</v>
      </c>
      <c r="N533">
        <v>5373</v>
      </c>
      <c r="O533">
        <v>63110</v>
      </c>
      <c r="P533" t="s">
        <v>2883</v>
      </c>
    </row>
    <row r="534" spans="1:16" x14ac:dyDescent="0.25">
      <c r="A534" t="s">
        <v>1440</v>
      </c>
      <c r="B534" t="s">
        <v>232</v>
      </c>
      <c r="C534" s="3">
        <v>43909</v>
      </c>
      <c r="D534" t="s">
        <v>1024</v>
      </c>
      <c r="E534">
        <v>29.99</v>
      </c>
      <c r="F534" t="s">
        <v>1189</v>
      </c>
      <c r="G534">
        <v>50</v>
      </c>
      <c r="H534" t="s">
        <v>1315</v>
      </c>
      <c r="I534" t="s">
        <v>1051</v>
      </c>
      <c r="J534">
        <v>1706</v>
      </c>
      <c r="K534">
        <v>8</v>
      </c>
      <c r="L534" t="s">
        <v>1022</v>
      </c>
      <c r="M534">
        <v>121988</v>
      </c>
      <c r="N534">
        <v>12077</v>
      </c>
      <c r="O534">
        <v>134065</v>
      </c>
      <c r="P534" t="s">
        <v>2883</v>
      </c>
    </row>
    <row r="535" spans="1:16" x14ac:dyDescent="0.25">
      <c r="A535" t="s">
        <v>1119</v>
      </c>
      <c r="B535" t="s">
        <v>518</v>
      </c>
      <c r="C535" s="3">
        <v>45561</v>
      </c>
      <c r="D535" t="s">
        <v>1024</v>
      </c>
      <c r="E535">
        <v>14.99</v>
      </c>
      <c r="F535" t="s">
        <v>1047</v>
      </c>
      <c r="H535" t="s">
        <v>1120</v>
      </c>
      <c r="I535" t="s">
        <v>1121</v>
      </c>
      <c r="J535">
        <v>1700</v>
      </c>
      <c r="K535">
        <v>8</v>
      </c>
      <c r="L535" t="s">
        <v>1022</v>
      </c>
      <c r="M535">
        <v>8827</v>
      </c>
      <c r="N535">
        <v>1629</v>
      </c>
      <c r="O535">
        <v>10456</v>
      </c>
      <c r="P535" t="s">
        <v>2883</v>
      </c>
    </row>
    <row r="536" spans="1:16" x14ac:dyDescent="0.25">
      <c r="A536" t="s">
        <v>2427</v>
      </c>
      <c r="B536" t="s">
        <v>896</v>
      </c>
      <c r="C536" s="3">
        <v>42800</v>
      </c>
      <c r="D536" t="s">
        <v>1024</v>
      </c>
      <c r="E536">
        <v>49.99</v>
      </c>
      <c r="F536" t="s">
        <v>1113</v>
      </c>
      <c r="G536">
        <v>57</v>
      </c>
      <c r="H536" t="s">
        <v>2423</v>
      </c>
      <c r="I536" t="s">
        <v>1212</v>
      </c>
      <c r="J536">
        <v>1697</v>
      </c>
      <c r="K536">
        <v>6</v>
      </c>
      <c r="L536" t="s">
        <v>2338</v>
      </c>
      <c r="M536">
        <v>34364</v>
      </c>
      <c r="N536">
        <v>9126</v>
      </c>
      <c r="O536">
        <v>43490</v>
      </c>
      <c r="P536" t="s">
        <v>2883</v>
      </c>
    </row>
    <row r="537" spans="1:16" x14ac:dyDescent="0.25">
      <c r="A537" t="s">
        <v>1429</v>
      </c>
      <c r="B537" t="s">
        <v>762</v>
      </c>
      <c r="C537" s="3">
        <v>44706</v>
      </c>
      <c r="D537" t="s">
        <v>1024</v>
      </c>
      <c r="E537">
        <v>49.99</v>
      </c>
      <c r="F537" t="s">
        <v>1113</v>
      </c>
      <c r="G537">
        <v>71</v>
      </c>
      <c r="H537" t="s">
        <v>1430</v>
      </c>
      <c r="I537" t="s">
        <v>1430</v>
      </c>
      <c r="J537">
        <v>1693</v>
      </c>
      <c r="K537">
        <v>8</v>
      </c>
      <c r="L537" t="s">
        <v>1022</v>
      </c>
      <c r="M537">
        <v>11304</v>
      </c>
      <c r="N537">
        <v>2195</v>
      </c>
      <c r="O537">
        <v>13499</v>
      </c>
      <c r="P537" t="s">
        <v>2883</v>
      </c>
    </row>
    <row r="538" spans="1:16" x14ac:dyDescent="0.25">
      <c r="A538" t="s">
        <v>2561</v>
      </c>
      <c r="B538" t="s">
        <v>59</v>
      </c>
      <c r="C538" s="3">
        <v>42452</v>
      </c>
      <c r="D538" t="s">
        <v>1024</v>
      </c>
      <c r="E538">
        <v>0.99</v>
      </c>
      <c r="F538" t="s">
        <v>1208</v>
      </c>
      <c r="G538">
        <v>6</v>
      </c>
      <c r="H538" t="s">
        <v>2562</v>
      </c>
      <c r="I538" t="s">
        <v>2562</v>
      </c>
      <c r="J538">
        <v>1691</v>
      </c>
      <c r="K538">
        <v>5</v>
      </c>
      <c r="L538" t="s">
        <v>2514</v>
      </c>
      <c r="M538">
        <v>84</v>
      </c>
      <c r="N538">
        <v>75</v>
      </c>
      <c r="O538">
        <v>159</v>
      </c>
      <c r="P538" t="s">
        <v>2883</v>
      </c>
    </row>
    <row r="539" spans="1:16" x14ac:dyDescent="0.25">
      <c r="A539" t="s">
        <v>1847</v>
      </c>
      <c r="B539" t="s">
        <v>439</v>
      </c>
      <c r="C539" s="3">
        <v>45415</v>
      </c>
      <c r="D539" t="s">
        <v>1019</v>
      </c>
      <c r="F539" t="s">
        <v>1026</v>
      </c>
      <c r="G539">
        <v>45</v>
      </c>
      <c r="H539" t="s">
        <v>1848</v>
      </c>
      <c r="I539" t="s">
        <v>1848</v>
      </c>
      <c r="J539">
        <v>1685</v>
      </c>
      <c r="K539">
        <v>8</v>
      </c>
      <c r="L539" t="s">
        <v>1022</v>
      </c>
      <c r="M539">
        <v>713</v>
      </c>
      <c r="N539">
        <v>156</v>
      </c>
      <c r="O539">
        <v>869</v>
      </c>
      <c r="P539" t="s">
        <v>2882</v>
      </c>
    </row>
    <row r="540" spans="1:16" x14ac:dyDescent="0.25">
      <c r="A540" t="s">
        <v>1733</v>
      </c>
      <c r="B540" t="s">
        <v>845</v>
      </c>
      <c r="C540" s="3">
        <v>40857</v>
      </c>
      <c r="D540" t="s">
        <v>1024</v>
      </c>
      <c r="E540">
        <v>19.989999999999998</v>
      </c>
      <c r="F540" t="s">
        <v>1042</v>
      </c>
      <c r="G540">
        <v>75</v>
      </c>
      <c r="H540" t="s">
        <v>1206</v>
      </c>
      <c r="I540" t="s">
        <v>1051</v>
      </c>
      <c r="J540">
        <v>1684</v>
      </c>
      <c r="K540">
        <v>8</v>
      </c>
      <c r="L540" t="s">
        <v>1022</v>
      </c>
      <c r="M540">
        <v>161808</v>
      </c>
      <c r="N540">
        <v>12207</v>
      </c>
      <c r="O540">
        <v>174015</v>
      </c>
      <c r="P540" t="s">
        <v>2883</v>
      </c>
    </row>
    <row r="541" spans="1:16" x14ac:dyDescent="0.25">
      <c r="A541" t="s">
        <v>2429</v>
      </c>
      <c r="B541" t="s">
        <v>844</v>
      </c>
      <c r="C541" s="3">
        <v>45769</v>
      </c>
      <c r="D541" t="s">
        <v>1024</v>
      </c>
      <c r="E541">
        <v>49.99</v>
      </c>
      <c r="F541" t="s">
        <v>1042</v>
      </c>
      <c r="G541">
        <v>60</v>
      </c>
      <c r="H541" t="s">
        <v>1206</v>
      </c>
      <c r="I541" t="s">
        <v>1051</v>
      </c>
      <c r="J541">
        <v>1682</v>
      </c>
      <c r="K541">
        <v>6</v>
      </c>
      <c r="L541" t="s">
        <v>2338</v>
      </c>
      <c r="M541">
        <v>42177</v>
      </c>
      <c r="N541">
        <v>12106</v>
      </c>
      <c r="O541">
        <v>54283</v>
      </c>
      <c r="P541" t="s">
        <v>2883</v>
      </c>
    </row>
    <row r="542" spans="1:16" x14ac:dyDescent="0.25">
      <c r="A542" t="s">
        <v>2428</v>
      </c>
      <c r="B542" t="s">
        <v>778</v>
      </c>
      <c r="C542" s="3">
        <v>45684</v>
      </c>
      <c r="D542" t="s">
        <v>1024</v>
      </c>
      <c r="E542">
        <v>29.99</v>
      </c>
      <c r="F542" t="s">
        <v>1026</v>
      </c>
      <c r="H542" t="s">
        <v>1932</v>
      </c>
      <c r="I542" t="s">
        <v>1932</v>
      </c>
      <c r="J542">
        <v>1676</v>
      </c>
      <c r="K542">
        <v>6</v>
      </c>
      <c r="L542" t="s">
        <v>2338</v>
      </c>
      <c r="M542">
        <v>2609</v>
      </c>
      <c r="N542">
        <v>882</v>
      </c>
      <c r="O542">
        <v>3491</v>
      </c>
      <c r="P542" t="s">
        <v>2883</v>
      </c>
    </row>
    <row r="543" spans="1:16" x14ac:dyDescent="0.25">
      <c r="A543" t="s">
        <v>2797</v>
      </c>
      <c r="B543" t="s">
        <v>808</v>
      </c>
      <c r="C543" s="3">
        <v>45617</v>
      </c>
      <c r="D543" t="s">
        <v>1019</v>
      </c>
      <c r="F543" t="s">
        <v>1020</v>
      </c>
      <c r="H543" t="s">
        <v>2798</v>
      </c>
      <c r="I543" t="s">
        <v>2798</v>
      </c>
      <c r="J543">
        <v>1675</v>
      </c>
      <c r="K543">
        <v>6</v>
      </c>
      <c r="L543" t="s">
        <v>2338</v>
      </c>
      <c r="M543">
        <v>8536</v>
      </c>
      <c r="N543">
        <v>2480</v>
      </c>
      <c r="O543">
        <v>11016</v>
      </c>
      <c r="P543" t="s">
        <v>2882</v>
      </c>
    </row>
    <row r="544" spans="1:16" x14ac:dyDescent="0.25">
      <c r="A544" t="s">
        <v>2569</v>
      </c>
      <c r="B544" t="s">
        <v>306</v>
      </c>
      <c r="C544" s="3">
        <v>45057</v>
      </c>
      <c r="D544" t="s">
        <v>1024</v>
      </c>
      <c r="E544">
        <v>59.99</v>
      </c>
      <c r="F544" t="s">
        <v>1113</v>
      </c>
      <c r="G544">
        <v>99</v>
      </c>
      <c r="H544" t="s">
        <v>2570</v>
      </c>
      <c r="I544" t="s">
        <v>1212</v>
      </c>
      <c r="J544">
        <v>1672</v>
      </c>
      <c r="K544">
        <v>5</v>
      </c>
      <c r="L544" t="s">
        <v>2514</v>
      </c>
      <c r="M544">
        <v>9096</v>
      </c>
      <c r="N544">
        <v>4444</v>
      </c>
      <c r="O544">
        <v>13540</v>
      </c>
      <c r="P544" t="s">
        <v>2883</v>
      </c>
    </row>
    <row r="545" spans="1:16" x14ac:dyDescent="0.25">
      <c r="A545" t="s">
        <v>1436</v>
      </c>
      <c r="B545" t="s">
        <v>876</v>
      </c>
      <c r="C545" s="3">
        <v>46141</v>
      </c>
      <c r="D545" t="s">
        <v>1024</v>
      </c>
      <c r="E545">
        <v>12.99</v>
      </c>
      <c r="F545" t="s">
        <v>1020</v>
      </c>
      <c r="G545">
        <v>119</v>
      </c>
      <c r="H545" t="s">
        <v>1437</v>
      </c>
      <c r="I545" t="s">
        <v>1437</v>
      </c>
      <c r="J545">
        <v>1665</v>
      </c>
      <c r="K545">
        <v>8</v>
      </c>
      <c r="L545" t="s">
        <v>1022</v>
      </c>
      <c r="M545">
        <v>4930</v>
      </c>
      <c r="N545">
        <v>722</v>
      </c>
      <c r="O545">
        <v>5652</v>
      </c>
      <c r="P545" t="s">
        <v>2883</v>
      </c>
    </row>
    <row r="546" spans="1:16" x14ac:dyDescent="0.25">
      <c r="A546" t="s">
        <v>2430</v>
      </c>
      <c r="B546" t="s">
        <v>550</v>
      </c>
      <c r="C546" s="3">
        <v>45188</v>
      </c>
      <c r="D546" t="s">
        <v>1024</v>
      </c>
      <c r="E546">
        <v>49.99</v>
      </c>
      <c r="F546" t="s">
        <v>1189</v>
      </c>
      <c r="G546">
        <v>50</v>
      </c>
      <c r="H546" t="s">
        <v>1422</v>
      </c>
      <c r="I546" t="s">
        <v>1423</v>
      </c>
      <c r="J546">
        <v>1664</v>
      </c>
      <c r="K546">
        <v>6</v>
      </c>
      <c r="L546" t="s">
        <v>2338</v>
      </c>
      <c r="M546">
        <v>16828</v>
      </c>
      <c r="N546">
        <v>7026</v>
      </c>
      <c r="O546">
        <v>23854</v>
      </c>
      <c r="P546" t="s">
        <v>2883</v>
      </c>
    </row>
    <row r="547" spans="1:16" x14ac:dyDescent="0.25">
      <c r="A547" t="s">
        <v>1001</v>
      </c>
      <c r="B547" t="s">
        <v>744</v>
      </c>
      <c r="C547" s="3">
        <v>39015</v>
      </c>
      <c r="D547" t="s">
        <v>1024</v>
      </c>
      <c r="E547">
        <v>4.99</v>
      </c>
      <c r="F547" t="s">
        <v>1047</v>
      </c>
      <c r="H547" t="s">
        <v>1122</v>
      </c>
      <c r="I547" t="s">
        <v>1123</v>
      </c>
      <c r="J547">
        <v>1663</v>
      </c>
      <c r="K547">
        <v>8</v>
      </c>
      <c r="L547" t="s">
        <v>1022</v>
      </c>
      <c r="M547">
        <v>4685</v>
      </c>
      <c r="N547">
        <v>488</v>
      </c>
      <c r="O547">
        <v>5173</v>
      </c>
      <c r="P547" t="s">
        <v>2883</v>
      </c>
    </row>
    <row r="548" spans="1:16" x14ac:dyDescent="0.25">
      <c r="A548" t="s">
        <v>1466</v>
      </c>
      <c r="B548" t="s">
        <v>375</v>
      </c>
      <c r="C548" s="3">
        <v>43970</v>
      </c>
      <c r="D548" t="s">
        <v>1024</v>
      </c>
      <c r="E548">
        <v>14.99</v>
      </c>
      <c r="F548" t="s">
        <v>1086</v>
      </c>
      <c r="G548">
        <v>83</v>
      </c>
      <c r="H548" t="s">
        <v>1467</v>
      </c>
      <c r="I548" t="s">
        <v>1379</v>
      </c>
      <c r="J548">
        <v>1660</v>
      </c>
      <c r="K548">
        <v>8</v>
      </c>
      <c r="L548" t="s">
        <v>1022</v>
      </c>
      <c r="M548">
        <v>47449</v>
      </c>
      <c r="N548">
        <v>6365</v>
      </c>
      <c r="O548">
        <v>53814</v>
      </c>
      <c r="P548" t="s">
        <v>2883</v>
      </c>
    </row>
    <row r="549" spans="1:16" x14ac:dyDescent="0.25">
      <c r="A549" t="s">
        <v>1433</v>
      </c>
      <c r="B549" t="s">
        <v>529</v>
      </c>
      <c r="C549" s="3">
        <v>43875</v>
      </c>
      <c r="D549" t="s">
        <v>1024</v>
      </c>
      <c r="E549">
        <v>29.99</v>
      </c>
      <c r="F549" t="s">
        <v>1189</v>
      </c>
      <c r="G549">
        <v>68</v>
      </c>
      <c r="H549" t="s">
        <v>1434</v>
      </c>
      <c r="I549" t="s">
        <v>1435</v>
      </c>
      <c r="J549">
        <v>1656</v>
      </c>
      <c r="K549">
        <v>8</v>
      </c>
      <c r="L549" t="s">
        <v>1022</v>
      </c>
      <c r="M549">
        <v>11675</v>
      </c>
      <c r="N549">
        <v>1324</v>
      </c>
      <c r="O549">
        <v>12999</v>
      </c>
      <c r="P549" t="s">
        <v>2883</v>
      </c>
    </row>
    <row r="550" spans="1:16" x14ac:dyDescent="0.25">
      <c r="A550" t="s">
        <v>1117</v>
      </c>
      <c r="B550" t="s">
        <v>736</v>
      </c>
      <c r="C550" s="3">
        <v>42424</v>
      </c>
      <c r="D550" t="s">
        <v>1019</v>
      </c>
      <c r="F550" t="s">
        <v>1020</v>
      </c>
      <c r="H550" t="s">
        <v>1118</v>
      </c>
      <c r="I550" t="s">
        <v>1118</v>
      </c>
      <c r="J550">
        <v>1655</v>
      </c>
      <c r="K550">
        <v>8</v>
      </c>
      <c r="L550" t="s">
        <v>1022</v>
      </c>
      <c r="M550">
        <v>5409</v>
      </c>
      <c r="N550">
        <v>1020</v>
      </c>
      <c r="O550">
        <v>6429</v>
      </c>
      <c r="P550" t="s">
        <v>2882</v>
      </c>
    </row>
    <row r="551" spans="1:16" x14ac:dyDescent="0.25">
      <c r="A551" t="s">
        <v>1441</v>
      </c>
      <c r="B551" t="s">
        <v>346</v>
      </c>
      <c r="C551" s="3">
        <v>46175</v>
      </c>
      <c r="D551" t="s">
        <v>1024</v>
      </c>
      <c r="E551">
        <v>7.99</v>
      </c>
      <c r="F551" t="s">
        <v>1110</v>
      </c>
      <c r="G551">
        <v>51</v>
      </c>
      <c r="H551" t="s">
        <v>1442</v>
      </c>
      <c r="I551" t="s">
        <v>1442</v>
      </c>
      <c r="J551">
        <v>1649</v>
      </c>
      <c r="K551">
        <v>8</v>
      </c>
      <c r="L551" t="s">
        <v>1022</v>
      </c>
      <c r="M551">
        <v>1431</v>
      </c>
      <c r="N551">
        <v>304</v>
      </c>
      <c r="O551">
        <v>1735</v>
      </c>
      <c r="P551" t="s">
        <v>2883</v>
      </c>
    </row>
    <row r="552" spans="1:16" x14ac:dyDescent="0.25">
      <c r="A552" t="s">
        <v>2796</v>
      </c>
      <c r="B552" t="s">
        <v>266</v>
      </c>
      <c r="C552" s="3">
        <v>46085</v>
      </c>
      <c r="D552" t="s">
        <v>1019</v>
      </c>
      <c r="F552" t="s">
        <v>1020</v>
      </c>
      <c r="G552">
        <v>32</v>
      </c>
      <c r="H552" t="s">
        <v>1418</v>
      </c>
      <c r="I552" t="s">
        <v>1418</v>
      </c>
      <c r="J552">
        <v>1647</v>
      </c>
      <c r="K552">
        <v>6</v>
      </c>
      <c r="L552" t="s">
        <v>2338</v>
      </c>
      <c r="M552">
        <v>404</v>
      </c>
      <c r="N552">
        <v>118</v>
      </c>
      <c r="O552">
        <v>522</v>
      </c>
      <c r="P552" t="s">
        <v>2882</v>
      </c>
    </row>
    <row r="553" spans="1:16" x14ac:dyDescent="0.25">
      <c r="A553" t="s">
        <v>2568</v>
      </c>
      <c r="B553" t="s">
        <v>573</v>
      </c>
      <c r="C553" s="3">
        <v>45593</v>
      </c>
      <c r="D553" t="s">
        <v>1024</v>
      </c>
      <c r="E553">
        <v>69.989999999999995</v>
      </c>
      <c r="F553" t="s">
        <v>1086</v>
      </c>
      <c r="G553">
        <v>46</v>
      </c>
      <c r="H553" t="s">
        <v>2350</v>
      </c>
      <c r="I553" t="s">
        <v>1123</v>
      </c>
      <c r="J553">
        <v>1644</v>
      </c>
      <c r="K553">
        <v>5</v>
      </c>
      <c r="L553" t="s">
        <v>2514</v>
      </c>
      <c r="M553">
        <v>10521</v>
      </c>
      <c r="N553">
        <v>6189</v>
      </c>
      <c r="O553">
        <v>16710</v>
      </c>
      <c r="P553" t="s">
        <v>2883</v>
      </c>
    </row>
    <row r="554" spans="1:16" x14ac:dyDescent="0.25">
      <c r="A554" t="s">
        <v>1457</v>
      </c>
      <c r="B554" t="s">
        <v>623</v>
      </c>
      <c r="C554" s="3">
        <v>45828</v>
      </c>
      <c r="D554" t="s">
        <v>1024</v>
      </c>
      <c r="E554">
        <v>17.989999999999998</v>
      </c>
      <c r="F554" t="s">
        <v>1110</v>
      </c>
      <c r="G554">
        <v>38</v>
      </c>
      <c r="H554" t="s">
        <v>1458</v>
      </c>
      <c r="I554" t="s">
        <v>1458</v>
      </c>
      <c r="J554">
        <v>1641</v>
      </c>
      <c r="K554">
        <v>8</v>
      </c>
      <c r="L554" t="s">
        <v>1022</v>
      </c>
      <c r="M554">
        <v>1440</v>
      </c>
      <c r="N554">
        <v>107</v>
      </c>
      <c r="O554">
        <v>1547</v>
      </c>
      <c r="P554" t="s">
        <v>2883</v>
      </c>
    </row>
    <row r="555" spans="1:16" x14ac:dyDescent="0.25">
      <c r="A555" t="s">
        <v>2661</v>
      </c>
      <c r="B555" t="s">
        <v>133</v>
      </c>
      <c r="C555" s="3">
        <v>46132</v>
      </c>
      <c r="D555" t="s">
        <v>1019</v>
      </c>
      <c r="F555" t="s">
        <v>1110</v>
      </c>
      <c r="H555" t="s">
        <v>2662</v>
      </c>
      <c r="I555" t="s">
        <v>1353</v>
      </c>
      <c r="J555">
        <v>1639</v>
      </c>
      <c r="K555">
        <v>9</v>
      </c>
      <c r="L555" t="s">
        <v>2077</v>
      </c>
      <c r="M555">
        <v>3480</v>
      </c>
      <c r="N555">
        <v>131</v>
      </c>
      <c r="O555">
        <v>3611</v>
      </c>
      <c r="P555" t="s">
        <v>2882</v>
      </c>
    </row>
    <row r="556" spans="1:16" x14ac:dyDescent="0.25">
      <c r="A556" t="s">
        <v>2238</v>
      </c>
      <c r="B556" t="s">
        <v>609</v>
      </c>
      <c r="C556" s="3">
        <v>44000</v>
      </c>
      <c r="D556" t="s">
        <v>1024</v>
      </c>
      <c r="E556">
        <v>24.99</v>
      </c>
      <c r="F556" t="s">
        <v>1113</v>
      </c>
      <c r="G556">
        <v>31</v>
      </c>
      <c r="H556" t="s">
        <v>2239</v>
      </c>
      <c r="I556" t="s">
        <v>2240</v>
      </c>
      <c r="J556">
        <v>1634</v>
      </c>
      <c r="K556">
        <v>9</v>
      </c>
      <c r="L556" t="s">
        <v>2077</v>
      </c>
      <c r="M556">
        <v>56881</v>
      </c>
      <c r="N556">
        <v>2918</v>
      </c>
      <c r="O556">
        <v>59799</v>
      </c>
      <c r="P556" t="s">
        <v>2883</v>
      </c>
    </row>
    <row r="557" spans="1:16" x14ac:dyDescent="0.25">
      <c r="A557" t="s">
        <v>1431</v>
      </c>
      <c r="B557" t="s">
        <v>372</v>
      </c>
      <c r="C557" s="3">
        <v>45777</v>
      </c>
      <c r="D557" t="s">
        <v>1024</v>
      </c>
      <c r="E557">
        <v>11.99</v>
      </c>
      <c r="F557" t="s">
        <v>1020</v>
      </c>
      <c r="G557">
        <v>78</v>
      </c>
      <c r="H557" t="s">
        <v>1432</v>
      </c>
      <c r="I557" t="s">
        <v>1432</v>
      </c>
      <c r="J557">
        <v>1633</v>
      </c>
      <c r="K557">
        <v>8</v>
      </c>
      <c r="L557" t="s">
        <v>1022</v>
      </c>
      <c r="M557">
        <v>1113</v>
      </c>
      <c r="N557">
        <v>75</v>
      </c>
      <c r="O557">
        <v>1188</v>
      </c>
      <c r="P557" t="s">
        <v>2883</v>
      </c>
    </row>
    <row r="558" spans="1:16" x14ac:dyDescent="0.25">
      <c r="A558" t="s">
        <v>2234</v>
      </c>
      <c r="B558" t="s">
        <v>659</v>
      </c>
      <c r="C558" s="3">
        <v>44756</v>
      </c>
      <c r="D558" t="s">
        <v>1024</v>
      </c>
      <c r="E558">
        <v>24.99</v>
      </c>
      <c r="F558" t="s">
        <v>1110</v>
      </c>
      <c r="G558">
        <v>100</v>
      </c>
      <c r="H558" t="s">
        <v>1287</v>
      </c>
      <c r="I558" t="s">
        <v>1287</v>
      </c>
      <c r="J558">
        <v>1633</v>
      </c>
      <c r="K558">
        <v>9</v>
      </c>
      <c r="L558" t="s">
        <v>2077</v>
      </c>
      <c r="M558">
        <v>42625</v>
      </c>
      <c r="N558">
        <v>1190</v>
      </c>
      <c r="O558">
        <v>43815</v>
      </c>
      <c r="P558" t="s">
        <v>2883</v>
      </c>
    </row>
    <row r="559" spans="1:16" x14ac:dyDescent="0.25">
      <c r="A559" t="s">
        <v>1445</v>
      </c>
      <c r="B559" t="s">
        <v>522</v>
      </c>
      <c r="C559" s="3">
        <v>46055</v>
      </c>
      <c r="D559" t="s">
        <v>1024</v>
      </c>
      <c r="E559">
        <v>13.99</v>
      </c>
      <c r="F559" t="s">
        <v>1026</v>
      </c>
      <c r="G559">
        <v>17</v>
      </c>
      <c r="H559" t="s">
        <v>1446</v>
      </c>
      <c r="I559" t="s">
        <v>1446</v>
      </c>
      <c r="J559">
        <v>1632</v>
      </c>
      <c r="K559">
        <v>8</v>
      </c>
      <c r="L559" t="s">
        <v>1022</v>
      </c>
      <c r="M559">
        <v>852</v>
      </c>
      <c r="N559">
        <v>56</v>
      </c>
      <c r="O559">
        <v>908</v>
      </c>
      <c r="P559" t="s">
        <v>2883</v>
      </c>
    </row>
    <row r="560" spans="1:16" x14ac:dyDescent="0.25">
      <c r="A560" t="s">
        <v>1443</v>
      </c>
      <c r="B560" t="s">
        <v>528</v>
      </c>
      <c r="C560" s="3">
        <v>41876</v>
      </c>
      <c r="D560" t="s">
        <v>1024</v>
      </c>
      <c r="E560">
        <v>19.989999999999998</v>
      </c>
      <c r="F560" t="s">
        <v>1189</v>
      </c>
      <c r="G560">
        <v>49</v>
      </c>
      <c r="H560" t="s">
        <v>1434</v>
      </c>
      <c r="I560" t="s">
        <v>1435</v>
      </c>
      <c r="J560">
        <v>1620</v>
      </c>
      <c r="K560">
        <v>8</v>
      </c>
      <c r="L560" t="s">
        <v>1022</v>
      </c>
      <c r="M560">
        <v>31846</v>
      </c>
      <c r="N560">
        <v>3968</v>
      </c>
      <c r="O560">
        <v>35814</v>
      </c>
      <c r="P560" t="s">
        <v>2883</v>
      </c>
    </row>
    <row r="561" spans="1:16" x14ac:dyDescent="0.25">
      <c r="A561" t="s">
        <v>2799</v>
      </c>
      <c r="B561" t="s">
        <v>175</v>
      </c>
      <c r="C561" s="3">
        <v>42942</v>
      </c>
      <c r="D561" t="s">
        <v>1019</v>
      </c>
      <c r="F561" t="s">
        <v>1020</v>
      </c>
      <c r="G561">
        <v>193</v>
      </c>
      <c r="H561" t="s">
        <v>2800</v>
      </c>
      <c r="I561" t="s">
        <v>2709</v>
      </c>
      <c r="J561">
        <v>1616</v>
      </c>
      <c r="K561">
        <v>5</v>
      </c>
      <c r="L561" t="s">
        <v>2514</v>
      </c>
      <c r="M561">
        <v>15326</v>
      </c>
      <c r="N561">
        <v>7050</v>
      </c>
      <c r="O561">
        <v>22376</v>
      </c>
      <c r="P561" t="s">
        <v>2882</v>
      </c>
    </row>
    <row r="562" spans="1:16" x14ac:dyDescent="0.25">
      <c r="A562" t="s">
        <v>1450</v>
      </c>
      <c r="B562" t="s">
        <v>594</v>
      </c>
      <c r="C562" s="3">
        <v>46140</v>
      </c>
      <c r="D562" t="s">
        <v>1024</v>
      </c>
      <c r="E562">
        <v>9.99</v>
      </c>
      <c r="F562" t="s">
        <v>1026</v>
      </c>
      <c r="G562">
        <v>33</v>
      </c>
      <c r="H562" t="s">
        <v>1451</v>
      </c>
      <c r="I562" t="s">
        <v>1452</v>
      </c>
      <c r="J562">
        <v>1600</v>
      </c>
      <c r="K562">
        <v>8</v>
      </c>
      <c r="L562" t="s">
        <v>1022</v>
      </c>
      <c r="M562">
        <v>1320</v>
      </c>
      <c r="N562">
        <v>75</v>
      </c>
      <c r="O562">
        <v>1395</v>
      </c>
      <c r="P562" t="s">
        <v>2883</v>
      </c>
    </row>
    <row r="563" spans="1:16" x14ac:dyDescent="0.25">
      <c r="A563" t="s">
        <v>1444</v>
      </c>
      <c r="B563" t="s">
        <v>568</v>
      </c>
      <c r="C563" s="3">
        <v>44525</v>
      </c>
      <c r="D563" t="s">
        <v>1024</v>
      </c>
      <c r="E563">
        <v>4.99</v>
      </c>
      <c r="F563" t="s">
        <v>1067</v>
      </c>
      <c r="G563">
        <v>12</v>
      </c>
      <c r="H563" t="s">
        <v>568</v>
      </c>
      <c r="I563" t="s">
        <v>568</v>
      </c>
      <c r="J563">
        <v>1593</v>
      </c>
      <c r="K563">
        <v>8</v>
      </c>
      <c r="L563" t="s">
        <v>1022</v>
      </c>
      <c r="M563">
        <v>749</v>
      </c>
      <c r="N563">
        <v>137</v>
      </c>
      <c r="O563">
        <v>886</v>
      </c>
      <c r="P563" t="s">
        <v>2883</v>
      </c>
    </row>
    <row r="564" spans="1:16" x14ac:dyDescent="0.25">
      <c r="A564" t="s">
        <v>1447</v>
      </c>
      <c r="B564" t="s">
        <v>203</v>
      </c>
      <c r="C564" s="3">
        <v>44650</v>
      </c>
      <c r="D564" t="s">
        <v>1024</v>
      </c>
      <c r="E564">
        <v>39.99</v>
      </c>
      <c r="F564" t="s">
        <v>1113</v>
      </c>
      <c r="G564">
        <v>63</v>
      </c>
      <c r="H564" t="s">
        <v>1358</v>
      </c>
      <c r="I564" t="s">
        <v>1448</v>
      </c>
      <c r="J564">
        <v>1593</v>
      </c>
      <c r="K564">
        <v>8</v>
      </c>
      <c r="L564" t="s">
        <v>1022</v>
      </c>
      <c r="M564">
        <v>22991</v>
      </c>
      <c r="N564">
        <v>2296</v>
      </c>
      <c r="O564">
        <v>25287</v>
      </c>
      <c r="P564" t="s">
        <v>2883</v>
      </c>
    </row>
    <row r="565" spans="1:16" x14ac:dyDescent="0.25">
      <c r="A565" t="s">
        <v>2230</v>
      </c>
      <c r="B565" t="s">
        <v>781</v>
      </c>
      <c r="C565" s="3">
        <v>45390</v>
      </c>
      <c r="D565" t="s">
        <v>1024</v>
      </c>
      <c r="E565">
        <v>11.99</v>
      </c>
      <c r="F565" t="s">
        <v>1110</v>
      </c>
      <c r="G565">
        <v>34</v>
      </c>
      <c r="H565" t="s">
        <v>2231</v>
      </c>
      <c r="I565" t="s">
        <v>2231</v>
      </c>
      <c r="J565">
        <v>1577</v>
      </c>
      <c r="K565">
        <v>9</v>
      </c>
      <c r="L565" t="s">
        <v>2077</v>
      </c>
      <c r="M565">
        <v>9648</v>
      </c>
      <c r="N565">
        <v>200</v>
      </c>
      <c r="O565">
        <v>9848</v>
      </c>
      <c r="P565" t="s">
        <v>2883</v>
      </c>
    </row>
    <row r="566" spans="1:16" x14ac:dyDescent="0.25">
      <c r="A566" t="s">
        <v>1124</v>
      </c>
      <c r="B566" t="s">
        <v>493</v>
      </c>
      <c r="C566" s="3">
        <v>43199</v>
      </c>
      <c r="D566" t="s">
        <v>1024</v>
      </c>
      <c r="E566">
        <v>24.99</v>
      </c>
      <c r="F566" t="s">
        <v>1110</v>
      </c>
      <c r="H566" t="s">
        <v>1037</v>
      </c>
      <c r="I566" t="s">
        <v>1037</v>
      </c>
      <c r="J566">
        <v>1568</v>
      </c>
      <c r="K566">
        <v>8</v>
      </c>
      <c r="L566" t="s">
        <v>1022</v>
      </c>
      <c r="M566">
        <v>14790</v>
      </c>
      <c r="N566">
        <v>1022</v>
      </c>
      <c r="O566">
        <v>15812</v>
      </c>
      <c r="P566" t="s">
        <v>2883</v>
      </c>
    </row>
    <row r="567" spans="1:16" x14ac:dyDescent="0.25">
      <c r="A567" t="s">
        <v>1125</v>
      </c>
      <c r="B567" t="s">
        <v>379</v>
      </c>
      <c r="C567" s="3">
        <v>38685</v>
      </c>
      <c r="D567" t="s">
        <v>1024</v>
      </c>
      <c r="E567">
        <v>19.989999999999998</v>
      </c>
      <c r="F567" t="s">
        <v>1042</v>
      </c>
      <c r="H567" t="s">
        <v>1126</v>
      </c>
      <c r="I567" t="s">
        <v>1127</v>
      </c>
      <c r="J567">
        <v>1563</v>
      </c>
      <c r="K567">
        <v>8</v>
      </c>
      <c r="L567" t="s">
        <v>1022</v>
      </c>
      <c r="M567">
        <v>3086</v>
      </c>
      <c r="N567">
        <v>376</v>
      </c>
      <c r="O567">
        <v>3462</v>
      </c>
      <c r="P567" t="s">
        <v>2883</v>
      </c>
    </row>
    <row r="568" spans="1:16" x14ac:dyDescent="0.25">
      <c r="A568" t="s">
        <v>1455</v>
      </c>
      <c r="B568" t="s">
        <v>121</v>
      </c>
      <c r="C568" s="3">
        <v>44993</v>
      </c>
      <c r="D568" t="s">
        <v>1024</v>
      </c>
      <c r="E568">
        <v>59.99</v>
      </c>
      <c r="F568" t="s">
        <v>1189</v>
      </c>
      <c r="G568">
        <v>27</v>
      </c>
      <c r="H568" t="s">
        <v>1456</v>
      </c>
      <c r="I568" t="s">
        <v>1272</v>
      </c>
      <c r="J568">
        <v>1560</v>
      </c>
      <c r="K568">
        <v>8</v>
      </c>
      <c r="L568" t="s">
        <v>1022</v>
      </c>
      <c r="M568">
        <v>12915</v>
      </c>
      <c r="N568">
        <v>2909</v>
      </c>
      <c r="O568">
        <v>15824</v>
      </c>
      <c r="P568" t="s">
        <v>2883</v>
      </c>
    </row>
    <row r="569" spans="1:16" x14ac:dyDescent="0.25">
      <c r="A569" t="s">
        <v>1460</v>
      </c>
      <c r="B569" t="s">
        <v>662</v>
      </c>
      <c r="C569" s="3">
        <v>46132</v>
      </c>
      <c r="D569" t="s">
        <v>1024</v>
      </c>
      <c r="E569">
        <v>7.99</v>
      </c>
      <c r="F569" t="s">
        <v>1208</v>
      </c>
      <c r="G569">
        <v>35</v>
      </c>
      <c r="H569" t="s">
        <v>1461</v>
      </c>
      <c r="I569" t="s">
        <v>1461</v>
      </c>
      <c r="J569">
        <v>1551</v>
      </c>
      <c r="K569">
        <v>8</v>
      </c>
      <c r="L569" t="s">
        <v>1022</v>
      </c>
      <c r="M569">
        <v>769</v>
      </c>
      <c r="N569">
        <v>90</v>
      </c>
      <c r="O569">
        <v>859</v>
      </c>
      <c r="P569" t="s">
        <v>2883</v>
      </c>
    </row>
    <row r="570" spans="1:16" x14ac:dyDescent="0.25">
      <c r="A570" t="s">
        <v>1851</v>
      </c>
      <c r="B570" t="s">
        <v>339</v>
      </c>
      <c r="C570" s="3">
        <v>44509</v>
      </c>
      <c r="D570" t="s">
        <v>1024</v>
      </c>
      <c r="F570" t="s">
        <v>1086</v>
      </c>
      <c r="G570">
        <v>98</v>
      </c>
      <c r="H570" t="s">
        <v>1835</v>
      </c>
      <c r="I570" t="s">
        <v>1555</v>
      </c>
      <c r="J570">
        <v>1547</v>
      </c>
      <c r="K570">
        <v>8</v>
      </c>
      <c r="L570" t="s">
        <v>1022</v>
      </c>
      <c r="M570">
        <v>8243</v>
      </c>
      <c r="N570">
        <v>545</v>
      </c>
      <c r="O570">
        <v>8788</v>
      </c>
      <c r="P570" t="s">
        <v>2883</v>
      </c>
    </row>
    <row r="571" spans="1:16" x14ac:dyDescent="0.25">
      <c r="A571" t="s">
        <v>1453</v>
      </c>
      <c r="B571" t="s">
        <v>767</v>
      </c>
      <c r="C571" s="3">
        <v>44095</v>
      </c>
      <c r="D571" t="s">
        <v>1024</v>
      </c>
      <c r="E571">
        <v>24.99</v>
      </c>
      <c r="F571" t="s">
        <v>1026</v>
      </c>
      <c r="G571">
        <v>34</v>
      </c>
      <c r="H571" t="s">
        <v>1454</v>
      </c>
      <c r="I571" t="s">
        <v>1454</v>
      </c>
      <c r="J571">
        <v>1546</v>
      </c>
      <c r="K571">
        <v>8</v>
      </c>
      <c r="L571" t="s">
        <v>1022</v>
      </c>
      <c r="M571">
        <v>6112</v>
      </c>
      <c r="N571">
        <v>364</v>
      </c>
      <c r="O571">
        <v>6476</v>
      </c>
      <c r="P571" t="s">
        <v>2883</v>
      </c>
    </row>
    <row r="572" spans="1:16" x14ac:dyDescent="0.25">
      <c r="A572" t="s">
        <v>1449</v>
      </c>
      <c r="B572" t="s">
        <v>529</v>
      </c>
      <c r="C572" s="3">
        <v>43875</v>
      </c>
      <c r="D572" t="s">
        <v>1024</v>
      </c>
      <c r="E572">
        <v>29.99</v>
      </c>
      <c r="F572" t="s">
        <v>1189</v>
      </c>
      <c r="G572">
        <v>68</v>
      </c>
      <c r="H572" t="s">
        <v>1434</v>
      </c>
      <c r="I572" t="s">
        <v>1435</v>
      </c>
      <c r="J572">
        <v>1544</v>
      </c>
      <c r="K572">
        <v>8</v>
      </c>
      <c r="L572" t="s">
        <v>1022</v>
      </c>
      <c r="M572">
        <v>34571</v>
      </c>
      <c r="N572">
        <v>5169</v>
      </c>
      <c r="O572">
        <v>39740</v>
      </c>
      <c r="P572" t="s">
        <v>2883</v>
      </c>
    </row>
    <row r="573" spans="1:16" x14ac:dyDescent="0.25">
      <c r="A573" t="s">
        <v>2575</v>
      </c>
      <c r="B573" t="s">
        <v>666</v>
      </c>
      <c r="C573" s="3">
        <v>46188</v>
      </c>
      <c r="D573" t="s">
        <v>1024</v>
      </c>
      <c r="E573">
        <v>39.99</v>
      </c>
      <c r="F573" t="s">
        <v>1086</v>
      </c>
      <c r="G573">
        <v>64</v>
      </c>
      <c r="H573" t="s">
        <v>2576</v>
      </c>
      <c r="I573" t="s">
        <v>1428</v>
      </c>
      <c r="J573">
        <v>1540</v>
      </c>
      <c r="K573">
        <v>5</v>
      </c>
      <c r="L573" t="s">
        <v>2514</v>
      </c>
      <c r="M573">
        <v>12</v>
      </c>
      <c r="N573">
        <v>16</v>
      </c>
      <c r="O573">
        <v>28</v>
      </c>
      <c r="P573" t="s">
        <v>2883</v>
      </c>
    </row>
    <row r="574" spans="1:16" x14ac:dyDescent="0.25">
      <c r="A574" t="s">
        <v>1983</v>
      </c>
      <c r="B574" t="s">
        <v>77</v>
      </c>
      <c r="C574" s="3">
        <v>43214</v>
      </c>
      <c r="D574" t="s">
        <v>1024</v>
      </c>
      <c r="E574">
        <v>39.99</v>
      </c>
      <c r="F574" t="s">
        <v>1047</v>
      </c>
      <c r="G574">
        <v>128</v>
      </c>
      <c r="H574" t="s">
        <v>1984</v>
      </c>
      <c r="I574" t="s">
        <v>1846</v>
      </c>
      <c r="J574">
        <v>1539</v>
      </c>
      <c r="K574">
        <v>8</v>
      </c>
      <c r="L574" t="s">
        <v>1022</v>
      </c>
      <c r="M574">
        <v>22436</v>
      </c>
      <c r="N574">
        <v>3837</v>
      </c>
      <c r="O574">
        <v>26273</v>
      </c>
      <c r="P574" t="s">
        <v>2883</v>
      </c>
    </row>
    <row r="575" spans="1:16" x14ac:dyDescent="0.25">
      <c r="A575" t="s">
        <v>2232</v>
      </c>
      <c r="B575" t="s">
        <v>17</v>
      </c>
      <c r="C575" s="3">
        <v>44974</v>
      </c>
      <c r="D575" t="s">
        <v>1024</v>
      </c>
      <c r="E575">
        <v>6.99</v>
      </c>
      <c r="F575" t="s">
        <v>1026</v>
      </c>
      <c r="G575">
        <v>11</v>
      </c>
      <c r="H575" t="s">
        <v>2233</v>
      </c>
      <c r="I575" t="s">
        <v>2233</v>
      </c>
      <c r="J575">
        <v>1535</v>
      </c>
      <c r="K575">
        <v>9</v>
      </c>
      <c r="L575" t="s">
        <v>2077</v>
      </c>
      <c r="M575">
        <v>5714</v>
      </c>
      <c r="N575">
        <v>169</v>
      </c>
      <c r="O575">
        <v>5883</v>
      </c>
      <c r="P575" t="s">
        <v>2883</v>
      </c>
    </row>
    <row r="576" spans="1:16" x14ac:dyDescent="0.25">
      <c r="A576" t="s">
        <v>2659</v>
      </c>
      <c r="B576" t="s">
        <v>590</v>
      </c>
      <c r="C576" s="3">
        <v>46188</v>
      </c>
      <c r="D576" t="s">
        <v>1019</v>
      </c>
      <c r="F576" t="s">
        <v>1110</v>
      </c>
      <c r="H576" t="s">
        <v>2660</v>
      </c>
      <c r="I576" t="s">
        <v>2660</v>
      </c>
      <c r="J576">
        <v>1531</v>
      </c>
      <c r="K576">
        <v>6</v>
      </c>
      <c r="L576" t="s">
        <v>2338</v>
      </c>
      <c r="M576">
        <v>199</v>
      </c>
      <c r="N576">
        <v>66</v>
      </c>
      <c r="O576">
        <v>265</v>
      </c>
      <c r="P576" t="s">
        <v>2882</v>
      </c>
    </row>
    <row r="577" spans="1:16" x14ac:dyDescent="0.25">
      <c r="A577" t="s">
        <v>1464</v>
      </c>
      <c r="B577" t="s">
        <v>200</v>
      </c>
      <c r="C577" s="3">
        <v>44953</v>
      </c>
      <c r="D577" t="s">
        <v>1024</v>
      </c>
      <c r="E577">
        <v>59.99</v>
      </c>
      <c r="F577" t="s">
        <v>1113</v>
      </c>
      <c r="G577">
        <v>47</v>
      </c>
      <c r="H577" t="s">
        <v>1465</v>
      </c>
      <c r="I577" t="s">
        <v>1035</v>
      </c>
      <c r="J577">
        <v>1515</v>
      </c>
      <c r="K577">
        <v>8</v>
      </c>
      <c r="L577" t="s">
        <v>1022</v>
      </c>
      <c r="M577">
        <v>31013</v>
      </c>
      <c r="N577">
        <v>3586</v>
      </c>
      <c r="O577">
        <v>34599</v>
      </c>
      <c r="P577" t="s">
        <v>2883</v>
      </c>
    </row>
    <row r="578" spans="1:16" x14ac:dyDescent="0.25">
      <c r="A578" t="s">
        <v>1128</v>
      </c>
      <c r="B578" t="s">
        <v>796</v>
      </c>
      <c r="C578" s="3">
        <v>46028</v>
      </c>
      <c r="D578" t="s">
        <v>1024</v>
      </c>
      <c r="E578">
        <v>19.989999999999998</v>
      </c>
      <c r="F578" t="s">
        <v>1026</v>
      </c>
      <c r="H578" t="s">
        <v>1129</v>
      </c>
      <c r="I578" t="s">
        <v>1129</v>
      </c>
      <c r="J578">
        <v>1511</v>
      </c>
      <c r="K578">
        <v>8</v>
      </c>
      <c r="L578" t="s">
        <v>1022</v>
      </c>
      <c r="M578">
        <v>5925</v>
      </c>
      <c r="N578">
        <v>1284</v>
      </c>
      <c r="O578">
        <v>7209</v>
      </c>
      <c r="P578" t="s">
        <v>2883</v>
      </c>
    </row>
    <row r="579" spans="1:16" x14ac:dyDescent="0.25">
      <c r="A579" t="s">
        <v>1130</v>
      </c>
      <c r="B579" t="s">
        <v>732</v>
      </c>
      <c r="C579" s="3">
        <v>45608</v>
      </c>
      <c r="D579" t="s">
        <v>1024</v>
      </c>
      <c r="E579">
        <v>49.99</v>
      </c>
      <c r="F579" t="s">
        <v>1026</v>
      </c>
      <c r="H579" t="s">
        <v>1131</v>
      </c>
      <c r="I579" t="s">
        <v>1132</v>
      </c>
      <c r="J579">
        <v>1503</v>
      </c>
      <c r="K579">
        <v>8</v>
      </c>
      <c r="L579" t="s">
        <v>1022</v>
      </c>
      <c r="M579">
        <v>3452</v>
      </c>
      <c r="N579">
        <v>373</v>
      </c>
      <c r="O579">
        <v>3825</v>
      </c>
      <c r="P579" t="s">
        <v>2883</v>
      </c>
    </row>
    <row r="580" spans="1:16" x14ac:dyDescent="0.25">
      <c r="A580" t="s">
        <v>1981</v>
      </c>
      <c r="B580" t="s">
        <v>537</v>
      </c>
      <c r="C580" s="3">
        <v>43734</v>
      </c>
      <c r="D580" t="s">
        <v>1024</v>
      </c>
      <c r="E580">
        <v>9.99</v>
      </c>
      <c r="F580" t="s">
        <v>1047</v>
      </c>
      <c r="G580">
        <v>87</v>
      </c>
      <c r="H580" t="s">
        <v>1982</v>
      </c>
      <c r="I580" t="s">
        <v>1982</v>
      </c>
      <c r="J580">
        <v>1499</v>
      </c>
      <c r="K580">
        <v>8</v>
      </c>
      <c r="L580" t="s">
        <v>1022</v>
      </c>
      <c r="M580">
        <v>10465</v>
      </c>
      <c r="N580">
        <v>561</v>
      </c>
      <c r="O580">
        <v>11026</v>
      </c>
      <c r="P580" t="s">
        <v>2883</v>
      </c>
    </row>
    <row r="581" spans="1:16" x14ac:dyDescent="0.25">
      <c r="A581" t="s">
        <v>2241</v>
      </c>
      <c r="B581" t="s">
        <v>171</v>
      </c>
      <c r="C581" s="3">
        <v>45518</v>
      </c>
      <c r="D581" t="s">
        <v>1024</v>
      </c>
      <c r="E581">
        <v>29.99</v>
      </c>
      <c r="F581" t="s">
        <v>1110</v>
      </c>
      <c r="G581">
        <v>80</v>
      </c>
      <c r="H581" t="s">
        <v>2242</v>
      </c>
      <c r="I581" t="s">
        <v>2242</v>
      </c>
      <c r="J581">
        <v>1493</v>
      </c>
      <c r="K581">
        <v>9</v>
      </c>
      <c r="L581" t="s">
        <v>2077</v>
      </c>
      <c r="M581">
        <v>15730</v>
      </c>
      <c r="N581">
        <v>266</v>
      </c>
      <c r="O581">
        <v>15996</v>
      </c>
      <c r="P581" t="s">
        <v>2883</v>
      </c>
    </row>
    <row r="582" spans="1:16" x14ac:dyDescent="0.25">
      <c r="A582" t="s">
        <v>2431</v>
      </c>
      <c r="B582" t="s">
        <v>158</v>
      </c>
      <c r="C582" s="3">
        <v>44824</v>
      </c>
      <c r="D582" t="s">
        <v>1024</v>
      </c>
      <c r="E582">
        <v>24.99</v>
      </c>
      <c r="F582" t="s">
        <v>1110</v>
      </c>
      <c r="G582">
        <v>33</v>
      </c>
      <c r="H582" t="s">
        <v>2432</v>
      </c>
      <c r="I582" t="s">
        <v>2433</v>
      </c>
      <c r="J582">
        <v>1490</v>
      </c>
      <c r="K582">
        <v>6</v>
      </c>
      <c r="L582" t="s">
        <v>2338</v>
      </c>
      <c r="M582">
        <v>3464</v>
      </c>
      <c r="N582">
        <v>1026</v>
      </c>
      <c r="O582">
        <v>4490</v>
      </c>
      <c r="P582" t="s">
        <v>2883</v>
      </c>
    </row>
    <row r="583" spans="1:16" x14ac:dyDescent="0.25">
      <c r="A583" t="s">
        <v>2663</v>
      </c>
      <c r="B583" t="s">
        <v>291</v>
      </c>
      <c r="C583" s="3">
        <v>46119</v>
      </c>
      <c r="D583" t="s">
        <v>1019</v>
      </c>
      <c r="F583" t="s">
        <v>1026</v>
      </c>
      <c r="H583" t="s">
        <v>2664</v>
      </c>
      <c r="I583" t="s">
        <v>2664</v>
      </c>
      <c r="J583">
        <v>1490</v>
      </c>
      <c r="K583">
        <v>5</v>
      </c>
      <c r="L583" t="s">
        <v>2514</v>
      </c>
      <c r="M583">
        <v>261</v>
      </c>
      <c r="N583">
        <v>127</v>
      </c>
      <c r="O583">
        <v>388</v>
      </c>
      <c r="P583" t="s">
        <v>2882</v>
      </c>
    </row>
    <row r="584" spans="1:16" x14ac:dyDescent="0.25">
      <c r="A584" t="s">
        <v>1462</v>
      </c>
      <c r="B584" t="s">
        <v>604</v>
      </c>
      <c r="C584" s="3">
        <v>45139</v>
      </c>
      <c r="D584" t="s">
        <v>1024</v>
      </c>
      <c r="E584">
        <v>19.989999999999998</v>
      </c>
      <c r="F584" t="s">
        <v>1026</v>
      </c>
      <c r="G584">
        <v>26</v>
      </c>
      <c r="H584" t="s">
        <v>1463</v>
      </c>
      <c r="I584" t="s">
        <v>1463</v>
      </c>
      <c r="J584">
        <v>1483</v>
      </c>
      <c r="K584">
        <v>8</v>
      </c>
      <c r="L584" t="s">
        <v>1022</v>
      </c>
      <c r="M584">
        <v>5188</v>
      </c>
      <c r="N584">
        <v>828</v>
      </c>
      <c r="O584">
        <v>6016</v>
      </c>
      <c r="P584" t="s">
        <v>2883</v>
      </c>
    </row>
    <row r="585" spans="1:16" x14ac:dyDescent="0.25">
      <c r="A585" t="s">
        <v>1734</v>
      </c>
      <c r="B585" t="s">
        <v>830</v>
      </c>
      <c r="C585" s="3">
        <v>46125</v>
      </c>
      <c r="D585" t="s">
        <v>1024</v>
      </c>
      <c r="E585">
        <v>6.99</v>
      </c>
      <c r="F585" t="s">
        <v>1042</v>
      </c>
      <c r="G585">
        <v>53</v>
      </c>
      <c r="H585" t="s">
        <v>1735</v>
      </c>
      <c r="I585" t="s">
        <v>1736</v>
      </c>
      <c r="J585">
        <v>1482</v>
      </c>
      <c r="K585">
        <v>8</v>
      </c>
      <c r="L585" t="s">
        <v>1022</v>
      </c>
      <c r="M585">
        <v>238</v>
      </c>
      <c r="N585">
        <v>35</v>
      </c>
      <c r="O585">
        <v>273</v>
      </c>
      <c r="P585" t="s">
        <v>2883</v>
      </c>
    </row>
    <row r="586" spans="1:16" x14ac:dyDescent="0.25">
      <c r="A586" t="s">
        <v>2801</v>
      </c>
      <c r="B586" t="s">
        <v>407</v>
      </c>
      <c r="C586" s="3">
        <v>44515</v>
      </c>
      <c r="D586" t="s">
        <v>1019</v>
      </c>
      <c r="F586" t="s">
        <v>1020</v>
      </c>
      <c r="G586">
        <v>144</v>
      </c>
      <c r="H586" t="s">
        <v>1319</v>
      </c>
      <c r="I586" t="s">
        <v>1106</v>
      </c>
      <c r="J586">
        <v>1478</v>
      </c>
      <c r="K586">
        <v>5</v>
      </c>
      <c r="L586" t="s">
        <v>2514</v>
      </c>
      <c r="M586">
        <v>94754</v>
      </c>
      <c r="N586">
        <v>44137</v>
      </c>
      <c r="O586">
        <v>138891</v>
      </c>
      <c r="P586" t="s">
        <v>2882</v>
      </c>
    </row>
    <row r="587" spans="1:16" x14ac:dyDescent="0.25">
      <c r="A587" t="s">
        <v>2665</v>
      </c>
      <c r="B587" t="s">
        <v>150</v>
      </c>
      <c r="C587" s="3">
        <v>45358</v>
      </c>
      <c r="D587" t="s">
        <v>1024</v>
      </c>
      <c r="F587" t="s">
        <v>1047</v>
      </c>
      <c r="H587" t="s">
        <v>2666</v>
      </c>
      <c r="I587" t="s">
        <v>1035</v>
      </c>
      <c r="J587">
        <v>1478</v>
      </c>
      <c r="K587">
        <v>9</v>
      </c>
      <c r="L587" t="s">
        <v>2077</v>
      </c>
      <c r="M587">
        <v>4075</v>
      </c>
      <c r="N587">
        <v>204</v>
      </c>
      <c r="O587">
        <v>4279</v>
      </c>
      <c r="P587" t="s">
        <v>2883</v>
      </c>
    </row>
    <row r="588" spans="1:16" x14ac:dyDescent="0.25">
      <c r="A588" t="s">
        <v>1459</v>
      </c>
      <c r="B588" t="s">
        <v>695</v>
      </c>
      <c r="C588" s="3">
        <v>42758</v>
      </c>
      <c r="D588" t="s">
        <v>1024</v>
      </c>
      <c r="E588">
        <v>19.989999999999998</v>
      </c>
      <c r="F588" t="s">
        <v>1113</v>
      </c>
      <c r="G588">
        <v>58</v>
      </c>
      <c r="H588" t="s">
        <v>1233</v>
      </c>
      <c r="I588" t="s">
        <v>1233</v>
      </c>
      <c r="J588">
        <v>1475</v>
      </c>
      <c r="K588">
        <v>8</v>
      </c>
      <c r="L588" t="s">
        <v>1022</v>
      </c>
      <c r="M588">
        <v>42296</v>
      </c>
      <c r="N588">
        <v>2418</v>
      </c>
      <c r="O588">
        <v>44714</v>
      </c>
      <c r="P588" t="s">
        <v>2883</v>
      </c>
    </row>
    <row r="589" spans="1:16" x14ac:dyDescent="0.25">
      <c r="A589" t="s">
        <v>1471</v>
      </c>
      <c r="B589" t="s">
        <v>693</v>
      </c>
      <c r="C589" s="3">
        <v>40071</v>
      </c>
      <c r="D589" t="s">
        <v>1024</v>
      </c>
      <c r="E589">
        <v>19.989999999999998</v>
      </c>
      <c r="F589" t="s">
        <v>1113</v>
      </c>
      <c r="G589">
        <v>70</v>
      </c>
      <c r="H589" t="s">
        <v>1473</v>
      </c>
      <c r="I589" t="s">
        <v>1473</v>
      </c>
      <c r="J589">
        <v>1467</v>
      </c>
      <c r="K589">
        <v>8</v>
      </c>
      <c r="L589" t="s">
        <v>1022</v>
      </c>
      <c r="M589">
        <v>22233</v>
      </c>
      <c r="N589">
        <v>4078</v>
      </c>
      <c r="O589">
        <v>26311</v>
      </c>
      <c r="P589" t="s">
        <v>2883</v>
      </c>
    </row>
    <row r="590" spans="1:16" x14ac:dyDescent="0.25">
      <c r="A590" t="s">
        <v>2245</v>
      </c>
      <c r="B590" t="s">
        <v>309</v>
      </c>
      <c r="C590" s="3">
        <v>46140</v>
      </c>
      <c r="D590" t="s">
        <v>1024</v>
      </c>
      <c r="E590">
        <v>19.989999999999998</v>
      </c>
      <c r="F590" t="s">
        <v>1026</v>
      </c>
      <c r="H590" t="s">
        <v>2246</v>
      </c>
      <c r="I590" t="s">
        <v>1335</v>
      </c>
      <c r="J590">
        <v>1467</v>
      </c>
      <c r="K590">
        <v>9</v>
      </c>
      <c r="L590" t="s">
        <v>2077</v>
      </c>
      <c r="M590">
        <v>21413</v>
      </c>
      <c r="N590">
        <v>710</v>
      </c>
      <c r="O590">
        <v>22123</v>
      </c>
      <c r="P590" t="s">
        <v>2883</v>
      </c>
    </row>
    <row r="591" spans="1:16" x14ac:dyDescent="0.25">
      <c r="A591" t="s">
        <v>1135</v>
      </c>
      <c r="B591" t="s">
        <v>615</v>
      </c>
      <c r="C591" s="3">
        <v>43644</v>
      </c>
      <c r="D591" t="s">
        <v>1024</v>
      </c>
      <c r="E591">
        <v>9.99</v>
      </c>
      <c r="F591" t="s">
        <v>1067</v>
      </c>
      <c r="H591" t="s">
        <v>1136</v>
      </c>
      <c r="I591" t="s">
        <v>1137</v>
      </c>
      <c r="J591">
        <v>1459</v>
      </c>
      <c r="K591">
        <v>8</v>
      </c>
      <c r="L591" t="s">
        <v>1022</v>
      </c>
      <c r="M591">
        <v>2441</v>
      </c>
      <c r="N591">
        <v>362</v>
      </c>
      <c r="O591">
        <v>2803</v>
      </c>
      <c r="P591" t="s">
        <v>2883</v>
      </c>
    </row>
    <row r="592" spans="1:16" x14ac:dyDescent="0.25">
      <c r="A592" t="s">
        <v>2802</v>
      </c>
      <c r="B592" t="s">
        <v>638</v>
      </c>
      <c r="C592" s="3">
        <v>45833</v>
      </c>
      <c r="D592" t="s">
        <v>1019</v>
      </c>
      <c r="F592" t="s">
        <v>1020</v>
      </c>
      <c r="H592" t="s">
        <v>1717</v>
      </c>
      <c r="I592" t="s">
        <v>1555</v>
      </c>
      <c r="J592">
        <v>1459</v>
      </c>
      <c r="K592">
        <v>5</v>
      </c>
      <c r="L592" t="s">
        <v>2514</v>
      </c>
      <c r="M592">
        <v>4269</v>
      </c>
      <c r="N592">
        <v>4503</v>
      </c>
      <c r="O592">
        <v>8772</v>
      </c>
      <c r="P592" t="s">
        <v>2882</v>
      </c>
    </row>
    <row r="593" spans="1:16" x14ac:dyDescent="0.25">
      <c r="A593" t="s">
        <v>1852</v>
      </c>
      <c r="B593" t="s">
        <v>989</v>
      </c>
      <c r="C593" s="3">
        <v>43055</v>
      </c>
      <c r="D593" t="s">
        <v>1019</v>
      </c>
      <c r="F593" t="s">
        <v>1020</v>
      </c>
      <c r="G593">
        <v>20</v>
      </c>
      <c r="H593" t="s">
        <v>1418</v>
      </c>
      <c r="I593" t="s">
        <v>1418</v>
      </c>
      <c r="J593">
        <v>1454</v>
      </c>
      <c r="K593">
        <v>8</v>
      </c>
      <c r="L593" t="s">
        <v>1022</v>
      </c>
      <c r="M593">
        <v>16666</v>
      </c>
      <c r="N593">
        <v>3697</v>
      </c>
      <c r="O593">
        <v>20363</v>
      </c>
      <c r="P593" t="s">
        <v>2882</v>
      </c>
    </row>
    <row r="594" spans="1:16" x14ac:dyDescent="0.25">
      <c r="A594" t="s">
        <v>1468</v>
      </c>
      <c r="B594" t="s">
        <v>206</v>
      </c>
      <c r="C594" s="3">
        <v>45917</v>
      </c>
      <c r="D594" t="s">
        <v>1024</v>
      </c>
      <c r="E594">
        <v>12.99</v>
      </c>
      <c r="F594" t="s">
        <v>1189</v>
      </c>
      <c r="G594">
        <v>300</v>
      </c>
      <c r="H594" t="s">
        <v>1469</v>
      </c>
      <c r="I594" t="s">
        <v>1470</v>
      </c>
      <c r="J594">
        <v>1451</v>
      </c>
      <c r="K594">
        <v>8</v>
      </c>
      <c r="L594" t="s">
        <v>1022</v>
      </c>
      <c r="M594">
        <v>21564</v>
      </c>
      <c r="N594">
        <v>3107</v>
      </c>
      <c r="O594">
        <v>24671</v>
      </c>
      <c r="P594" t="s">
        <v>2883</v>
      </c>
    </row>
    <row r="595" spans="1:16" x14ac:dyDescent="0.25">
      <c r="A595" t="s">
        <v>1476</v>
      </c>
      <c r="B595" t="s">
        <v>450</v>
      </c>
      <c r="C595" s="3">
        <v>43446</v>
      </c>
      <c r="D595" t="s">
        <v>1024</v>
      </c>
      <c r="E595">
        <v>29.99</v>
      </c>
      <c r="F595" t="s">
        <v>1189</v>
      </c>
      <c r="G595">
        <v>35</v>
      </c>
      <c r="H595" t="s">
        <v>1477</v>
      </c>
      <c r="I595" t="s">
        <v>1282</v>
      </c>
      <c r="J595">
        <v>1447</v>
      </c>
      <c r="K595">
        <v>8</v>
      </c>
      <c r="L595" t="s">
        <v>1022</v>
      </c>
      <c r="M595">
        <v>63505</v>
      </c>
      <c r="N595">
        <v>10728</v>
      </c>
      <c r="O595">
        <v>74233</v>
      </c>
      <c r="P595" t="s">
        <v>2883</v>
      </c>
    </row>
    <row r="596" spans="1:16" x14ac:dyDescent="0.25">
      <c r="A596" t="s">
        <v>1856</v>
      </c>
      <c r="B596" t="s">
        <v>599</v>
      </c>
      <c r="C596" s="3">
        <v>44251</v>
      </c>
      <c r="D596" t="s">
        <v>1019</v>
      </c>
      <c r="F596" t="s">
        <v>1020</v>
      </c>
      <c r="G596">
        <v>20</v>
      </c>
      <c r="H596" t="s">
        <v>1275</v>
      </c>
      <c r="I596" t="s">
        <v>1275</v>
      </c>
      <c r="J596">
        <v>1440</v>
      </c>
      <c r="K596">
        <v>8</v>
      </c>
      <c r="L596" t="s">
        <v>1022</v>
      </c>
      <c r="M596">
        <v>14706</v>
      </c>
      <c r="N596">
        <v>3209</v>
      </c>
      <c r="O596">
        <v>17915</v>
      </c>
      <c r="P596" t="s">
        <v>2882</v>
      </c>
    </row>
    <row r="597" spans="1:16" x14ac:dyDescent="0.25">
      <c r="A597" t="s">
        <v>2577</v>
      </c>
      <c r="B597" t="s">
        <v>639</v>
      </c>
      <c r="C597" s="3">
        <v>45715</v>
      </c>
      <c r="D597" t="s">
        <v>1024</v>
      </c>
      <c r="E597">
        <v>59.99</v>
      </c>
      <c r="F597" t="s">
        <v>1086</v>
      </c>
      <c r="G597">
        <v>35</v>
      </c>
      <c r="H597" t="s">
        <v>2578</v>
      </c>
      <c r="I597" t="s">
        <v>1123</v>
      </c>
      <c r="J597">
        <v>1434</v>
      </c>
      <c r="K597">
        <v>5</v>
      </c>
      <c r="L597" t="s">
        <v>2514</v>
      </c>
      <c r="M597">
        <v>2851</v>
      </c>
      <c r="N597">
        <v>1296</v>
      </c>
      <c r="O597">
        <v>4147</v>
      </c>
      <c r="P597" t="s">
        <v>2883</v>
      </c>
    </row>
    <row r="598" spans="1:16" x14ac:dyDescent="0.25">
      <c r="A598" t="s">
        <v>1478</v>
      </c>
      <c r="B598" t="s">
        <v>926</v>
      </c>
      <c r="C598" s="3">
        <v>44853</v>
      </c>
      <c r="D598" t="s">
        <v>1024</v>
      </c>
      <c r="E598">
        <v>49.99</v>
      </c>
      <c r="F598" t="s">
        <v>1113</v>
      </c>
      <c r="G598">
        <v>101</v>
      </c>
      <c r="H598" t="s">
        <v>1365</v>
      </c>
      <c r="I598" t="s">
        <v>1223</v>
      </c>
      <c r="J598">
        <v>1431</v>
      </c>
      <c r="K598">
        <v>8</v>
      </c>
      <c r="L598" t="s">
        <v>1022</v>
      </c>
      <c r="M598">
        <v>13217</v>
      </c>
      <c r="N598">
        <v>1523</v>
      </c>
      <c r="O598">
        <v>14740</v>
      </c>
      <c r="P598" t="s">
        <v>2883</v>
      </c>
    </row>
    <row r="599" spans="1:16" x14ac:dyDescent="0.25">
      <c r="A599" t="s">
        <v>2438</v>
      </c>
      <c r="B599" t="s">
        <v>709</v>
      </c>
      <c r="C599" s="3">
        <v>45797</v>
      </c>
      <c r="D599" t="s">
        <v>1024</v>
      </c>
      <c r="E599">
        <v>39.99</v>
      </c>
      <c r="F599" t="s">
        <v>1110</v>
      </c>
      <c r="G599">
        <v>44</v>
      </c>
      <c r="H599" t="s">
        <v>1281</v>
      </c>
      <c r="I599" t="s">
        <v>1282</v>
      </c>
      <c r="J599">
        <v>1428</v>
      </c>
      <c r="K599">
        <v>6</v>
      </c>
      <c r="L599" t="s">
        <v>2338</v>
      </c>
      <c r="M599">
        <v>5768</v>
      </c>
      <c r="N599">
        <v>2122</v>
      </c>
      <c r="O599">
        <v>7890</v>
      </c>
      <c r="P599" t="s">
        <v>2883</v>
      </c>
    </row>
    <row r="600" spans="1:16" x14ac:dyDescent="0.25">
      <c r="A600" t="s">
        <v>2803</v>
      </c>
      <c r="B600" t="s">
        <v>250</v>
      </c>
      <c r="C600" s="3">
        <v>45595</v>
      </c>
      <c r="D600" t="s">
        <v>1019</v>
      </c>
      <c r="F600" t="s">
        <v>1020</v>
      </c>
      <c r="G600">
        <v>100</v>
      </c>
      <c r="H600" t="s">
        <v>2804</v>
      </c>
      <c r="I600" t="s">
        <v>2804</v>
      </c>
      <c r="J600">
        <v>1425</v>
      </c>
      <c r="K600">
        <v>5</v>
      </c>
      <c r="L600" t="s">
        <v>2514</v>
      </c>
      <c r="M600">
        <v>37</v>
      </c>
      <c r="N600">
        <v>30</v>
      </c>
      <c r="O600">
        <v>67</v>
      </c>
      <c r="P600" t="s">
        <v>2882</v>
      </c>
    </row>
    <row r="601" spans="1:16" x14ac:dyDescent="0.25">
      <c r="A601" t="s">
        <v>2247</v>
      </c>
      <c r="B601" t="s">
        <v>225</v>
      </c>
      <c r="C601" s="3">
        <v>45952</v>
      </c>
      <c r="D601" t="s">
        <v>1024</v>
      </c>
      <c r="E601">
        <v>29.99</v>
      </c>
      <c r="F601" t="s">
        <v>1047</v>
      </c>
      <c r="G601">
        <v>36</v>
      </c>
      <c r="H601" t="s">
        <v>2248</v>
      </c>
      <c r="I601" t="s">
        <v>2248</v>
      </c>
      <c r="J601">
        <v>1423</v>
      </c>
      <c r="K601">
        <v>9</v>
      </c>
      <c r="L601" t="s">
        <v>2077</v>
      </c>
      <c r="M601">
        <v>108278</v>
      </c>
      <c r="N601">
        <v>2685</v>
      </c>
      <c r="O601">
        <v>110963</v>
      </c>
      <c r="P601" t="s">
        <v>2883</v>
      </c>
    </row>
    <row r="602" spans="1:16" x14ac:dyDescent="0.25">
      <c r="A602" t="s">
        <v>1985</v>
      </c>
      <c r="B602" t="s">
        <v>904</v>
      </c>
      <c r="C602" s="3">
        <v>40234</v>
      </c>
      <c r="D602" t="s">
        <v>1024</v>
      </c>
      <c r="E602">
        <v>24.99</v>
      </c>
      <c r="F602" t="s">
        <v>1047</v>
      </c>
      <c r="G602">
        <v>71</v>
      </c>
      <c r="H602" t="s">
        <v>1644</v>
      </c>
      <c r="I602" t="s">
        <v>1555</v>
      </c>
      <c r="J602">
        <v>1420</v>
      </c>
      <c r="K602">
        <v>8</v>
      </c>
      <c r="L602" t="s">
        <v>1022</v>
      </c>
      <c r="M602">
        <v>13534</v>
      </c>
      <c r="N602">
        <v>1310</v>
      </c>
      <c r="O602">
        <v>14844</v>
      </c>
      <c r="P602" t="s">
        <v>2883</v>
      </c>
    </row>
    <row r="603" spans="1:16" x14ac:dyDescent="0.25">
      <c r="A603" t="s">
        <v>1479</v>
      </c>
      <c r="B603" t="s">
        <v>41</v>
      </c>
      <c r="C603" s="3"/>
      <c r="D603" t="s">
        <v>1024</v>
      </c>
      <c r="E603">
        <v>39.99</v>
      </c>
      <c r="F603" t="s">
        <v>1113</v>
      </c>
      <c r="G603">
        <v>60</v>
      </c>
      <c r="H603" t="s">
        <v>1345</v>
      </c>
      <c r="I603" t="s">
        <v>1212</v>
      </c>
      <c r="J603">
        <v>1405</v>
      </c>
      <c r="K603">
        <v>8</v>
      </c>
      <c r="L603" t="s">
        <v>1022</v>
      </c>
      <c r="M603">
        <v>28751</v>
      </c>
      <c r="N603">
        <v>4633</v>
      </c>
      <c r="O603">
        <v>33384</v>
      </c>
      <c r="P603" t="s">
        <v>2883</v>
      </c>
    </row>
    <row r="604" spans="1:16" x14ac:dyDescent="0.25">
      <c r="A604" t="s">
        <v>1854</v>
      </c>
      <c r="B604" t="s">
        <v>603</v>
      </c>
      <c r="C604" s="3">
        <v>45275</v>
      </c>
      <c r="D604" t="s">
        <v>1019</v>
      </c>
      <c r="F604" t="s">
        <v>1020</v>
      </c>
      <c r="G604">
        <v>43</v>
      </c>
      <c r="H604" t="s">
        <v>1855</v>
      </c>
      <c r="I604" t="s">
        <v>1855</v>
      </c>
      <c r="J604">
        <v>1405</v>
      </c>
      <c r="K604">
        <v>8</v>
      </c>
      <c r="L604" t="s">
        <v>1022</v>
      </c>
      <c r="M604">
        <v>19321</v>
      </c>
      <c r="N604">
        <v>2011</v>
      </c>
      <c r="O604">
        <v>21332</v>
      </c>
      <c r="P604" t="s">
        <v>2882</v>
      </c>
    </row>
    <row r="605" spans="1:16" x14ac:dyDescent="0.25">
      <c r="A605" t="s">
        <v>1853</v>
      </c>
      <c r="B605" t="s">
        <v>313</v>
      </c>
      <c r="C605" s="3">
        <v>45540</v>
      </c>
      <c r="D605" t="s">
        <v>1019</v>
      </c>
      <c r="F605" t="s">
        <v>1110</v>
      </c>
      <c r="G605">
        <v>168</v>
      </c>
      <c r="H605" t="s">
        <v>1797</v>
      </c>
      <c r="I605" t="s">
        <v>1797</v>
      </c>
      <c r="J605">
        <v>1404</v>
      </c>
      <c r="K605">
        <v>8</v>
      </c>
      <c r="L605" t="s">
        <v>1022</v>
      </c>
      <c r="M605">
        <v>4343</v>
      </c>
      <c r="N605">
        <v>246</v>
      </c>
      <c r="O605">
        <v>4589</v>
      </c>
      <c r="P605" t="s">
        <v>2882</v>
      </c>
    </row>
    <row r="606" spans="1:16" x14ac:dyDescent="0.25">
      <c r="A606" t="s">
        <v>2581</v>
      </c>
      <c r="B606" t="s">
        <v>49</v>
      </c>
      <c r="C606" s="3">
        <v>45673</v>
      </c>
      <c r="D606" t="s">
        <v>1024</v>
      </c>
      <c r="E606">
        <v>39.99</v>
      </c>
      <c r="F606" t="s">
        <v>1026</v>
      </c>
      <c r="H606" t="s">
        <v>1087</v>
      </c>
      <c r="I606" t="s">
        <v>1088</v>
      </c>
      <c r="J606">
        <v>1404</v>
      </c>
      <c r="K606">
        <v>5</v>
      </c>
      <c r="L606" t="s">
        <v>2514</v>
      </c>
      <c r="M606">
        <v>5513</v>
      </c>
      <c r="N606">
        <v>4784</v>
      </c>
      <c r="O606">
        <v>10297</v>
      </c>
      <c r="P606" t="s">
        <v>2883</v>
      </c>
    </row>
    <row r="607" spans="1:16" x14ac:dyDescent="0.25">
      <c r="A607" t="s">
        <v>2439</v>
      </c>
      <c r="B607" t="s">
        <v>906</v>
      </c>
      <c r="C607" s="3">
        <v>44315</v>
      </c>
      <c r="D607" t="s">
        <v>1024</v>
      </c>
      <c r="E607">
        <v>29.99</v>
      </c>
      <c r="F607" t="s">
        <v>1047</v>
      </c>
      <c r="G607">
        <v>192</v>
      </c>
      <c r="H607" t="s">
        <v>1644</v>
      </c>
      <c r="I607" t="s">
        <v>1555</v>
      </c>
      <c r="J607">
        <v>1399</v>
      </c>
      <c r="K607">
        <v>6</v>
      </c>
      <c r="L607" t="s">
        <v>2338</v>
      </c>
      <c r="M607">
        <v>6704</v>
      </c>
      <c r="N607">
        <v>1952</v>
      </c>
      <c r="O607">
        <v>8656</v>
      </c>
      <c r="P607" t="s">
        <v>2883</v>
      </c>
    </row>
    <row r="608" spans="1:16" x14ac:dyDescent="0.25">
      <c r="A608" t="s">
        <v>2805</v>
      </c>
      <c r="B608" t="s">
        <v>440</v>
      </c>
      <c r="C608" s="3">
        <v>44186</v>
      </c>
      <c r="D608" t="s">
        <v>1019</v>
      </c>
      <c r="F608" t="s">
        <v>1020</v>
      </c>
      <c r="G608">
        <v>651</v>
      </c>
      <c r="H608" t="s">
        <v>2806</v>
      </c>
      <c r="I608" t="s">
        <v>2806</v>
      </c>
      <c r="J608">
        <v>1398</v>
      </c>
      <c r="K608">
        <v>6</v>
      </c>
      <c r="L608" t="s">
        <v>2338</v>
      </c>
      <c r="M608">
        <v>3296</v>
      </c>
      <c r="N608">
        <v>889</v>
      </c>
      <c r="O608">
        <v>4185</v>
      </c>
      <c r="P608" t="s">
        <v>2882</v>
      </c>
    </row>
    <row r="609" spans="1:16" x14ac:dyDescent="0.25">
      <c r="A609" t="s">
        <v>2809</v>
      </c>
      <c r="B609" t="s">
        <v>368</v>
      </c>
      <c r="C609" s="3">
        <v>46177</v>
      </c>
      <c r="D609" t="s">
        <v>1019</v>
      </c>
      <c r="F609" t="s">
        <v>1020</v>
      </c>
      <c r="H609" t="s">
        <v>368</v>
      </c>
      <c r="I609" t="s">
        <v>368</v>
      </c>
      <c r="J609">
        <v>1398</v>
      </c>
      <c r="K609">
        <v>4</v>
      </c>
      <c r="L609" t="s">
        <v>2516</v>
      </c>
      <c r="M609">
        <v>825</v>
      </c>
      <c r="N609">
        <v>1393</v>
      </c>
      <c r="O609">
        <v>2218</v>
      </c>
      <c r="P609" t="s">
        <v>2882</v>
      </c>
    </row>
    <row r="610" spans="1:16" x14ac:dyDescent="0.25">
      <c r="A610" t="s">
        <v>1474</v>
      </c>
      <c r="B610" t="s">
        <v>814</v>
      </c>
      <c r="C610" s="3">
        <v>45593</v>
      </c>
      <c r="D610" t="s">
        <v>1024</v>
      </c>
      <c r="E610">
        <v>24.99</v>
      </c>
      <c r="F610" t="s">
        <v>1026</v>
      </c>
      <c r="G610">
        <v>129</v>
      </c>
      <c r="H610" t="s">
        <v>1475</v>
      </c>
      <c r="I610" t="s">
        <v>1475</v>
      </c>
      <c r="J610">
        <v>1397</v>
      </c>
      <c r="K610">
        <v>8</v>
      </c>
      <c r="L610" t="s">
        <v>1022</v>
      </c>
      <c r="M610">
        <v>5148</v>
      </c>
      <c r="N610">
        <v>569</v>
      </c>
      <c r="O610">
        <v>5717</v>
      </c>
      <c r="P610" t="s">
        <v>2883</v>
      </c>
    </row>
    <row r="611" spans="1:16" x14ac:dyDescent="0.25">
      <c r="A611" t="s">
        <v>2434</v>
      </c>
      <c r="B611" t="s">
        <v>960</v>
      </c>
      <c r="C611" s="3">
        <v>41785</v>
      </c>
      <c r="D611" t="s">
        <v>1024</v>
      </c>
      <c r="E611">
        <v>19.989999999999998</v>
      </c>
      <c r="F611" t="s">
        <v>1113</v>
      </c>
      <c r="G611">
        <v>49</v>
      </c>
      <c r="H611" t="s">
        <v>1212</v>
      </c>
      <c r="I611" t="s">
        <v>1212</v>
      </c>
      <c r="J611">
        <v>1397</v>
      </c>
      <c r="K611">
        <v>6</v>
      </c>
      <c r="L611" t="s">
        <v>2338</v>
      </c>
      <c r="M611">
        <v>15484</v>
      </c>
      <c r="N611">
        <v>5058</v>
      </c>
      <c r="O611">
        <v>20542</v>
      </c>
      <c r="P611" t="s">
        <v>2883</v>
      </c>
    </row>
    <row r="612" spans="1:16" x14ac:dyDescent="0.25">
      <c r="A612" t="s">
        <v>2235</v>
      </c>
      <c r="B612" t="s">
        <v>943</v>
      </c>
      <c r="C612" s="3">
        <v>45183</v>
      </c>
      <c r="D612" t="s">
        <v>1024</v>
      </c>
      <c r="E612">
        <v>24.99</v>
      </c>
      <c r="F612" t="s">
        <v>1047</v>
      </c>
      <c r="G612">
        <v>110</v>
      </c>
      <c r="H612" t="s">
        <v>2236</v>
      </c>
      <c r="I612" t="s">
        <v>2237</v>
      </c>
      <c r="J612">
        <v>1396</v>
      </c>
      <c r="K612">
        <v>9</v>
      </c>
      <c r="L612" t="s">
        <v>2077</v>
      </c>
      <c r="M612">
        <v>2313</v>
      </c>
      <c r="N612">
        <v>116</v>
      </c>
      <c r="O612">
        <v>2429</v>
      </c>
      <c r="P612" t="s">
        <v>2883</v>
      </c>
    </row>
    <row r="613" spans="1:16" x14ac:dyDescent="0.25">
      <c r="A613" t="s">
        <v>2440</v>
      </c>
      <c r="B613" t="s">
        <v>494</v>
      </c>
      <c r="C613" s="3">
        <v>45212</v>
      </c>
      <c r="D613" t="s">
        <v>1024</v>
      </c>
      <c r="E613">
        <v>29.99</v>
      </c>
      <c r="F613" t="s">
        <v>1042</v>
      </c>
      <c r="G613">
        <v>77</v>
      </c>
      <c r="H613" t="s">
        <v>2441</v>
      </c>
      <c r="I613" t="s">
        <v>2441</v>
      </c>
      <c r="J613">
        <v>1395</v>
      </c>
      <c r="K613">
        <v>6</v>
      </c>
      <c r="L613" t="s">
        <v>2338</v>
      </c>
      <c r="M613">
        <v>20338</v>
      </c>
      <c r="N613">
        <v>7662</v>
      </c>
      <c r="O613">
        <v>28000</v>
      </c>
      <c r="P613" t="s">
        <v>2883</v>
      </c>
    </row>
    <row r="614" spans="1:16" x14ac:dyDescent="0.25">
      <c r="A614" t="s">
        <v>2667</v>
      </c>
      <c r="B614" t="s">
        <v>328</v>
      </c>
      <c r="C614" s="3">
        <v>41948</v>
      </c>
      <c r="D614" t="s">
        <v>1019</v>
      </c>
      <c r="F614" t="s">
        <v>1042</v>
      </c>
      <c r="H614" t="s">
        <v>1043</v>
      </c>
      <c r="I614" t="s">
        <v>1043</v>
      </c>
      <c r="J614">
        <v>1395</v>
      </c>
      <c r="K614">
        <v>5</v>
      </c>
      <c r="L614" t="s">
        <v>2514</v>
      </c>
      <c r="M614">
        <v>754</v>
      </c>
      <c r="N614">
        <v>552</v>
      </c>
      <c r="O614">
        <v>1306</v>
      </c>
      <c r="P614" t="s">
        <v>2882</v>
      </c>
    </row>
    <row r="615" spans="1:16" x14ac:dyDescent="0.25">
      <c r="A615" t="s">
        <v>2435</v>
      </c>
      <c r="B615" t="s">
        <v>802</v>
      </c>
      <c r="C615" s="3">
        <v>43867</v>
      </c>
      <c r="D615" t="s">
        <v>1024</v>
      </c>
      <c r="E615">
        <v>24.99</v>
      </c>
      <c r="F615" t="s">
        <v>1026</v>
      </c>
      <c r="G615">
        <v>74</v>
      </c>
      <c r="H615" t="s">
        <v>2436</v>
      </c>
      <c r="I615" t="s">
        <v>2437</v>
      </c>
      <c r="J615">
        <v>1388</v>
      </c>
      <c r="K615">
        <v>6</v>
      </c>
      <c r="L615" t="s">
        <v>2338</v>
      </c>
      <c r="M615">
        <v>8772</v>
      </c>
      <c r="N615">
        <v>3087</v>
      </c>
      <c r="O615">
        <v>11859</v>
      </c>
      <c r="P615" t="s">
        <v>2883</v>
      </c>
    </row>
    <row r="616" spans="1:16" x14ac:dyDescent="0.25">
      <c r="A616" t="s">
        <v>2579</v>
      </c>
      <c r="B616" t="s">
        <v>886</v>
      </c>
      <c r="C616" s="3">
        <v>41851</v>
      </c>
      <c r="D616" t="s">
        <v>1024</v>
      </c>
      <c r="E616">
        <v>14.99</v>
      </c>
      <c r="F616" t="s">
        <v>1029</v>
      </c>
      <c r="G616">
        <v>11</v>
      </c>
      <c r="H616" t="s">
        <v>2580</v>
      </c>
      <c r="I616" t="s">
        <v>2580</v>
      </c>
      <c r="J616">
        <v>1383</v>
      </c>
      <c r="K616">
        <v>5</v>
      </c>
      <c r="L616" t="s">
        <v>2514</v>
      </c>
      <c r="M616">
        <v>162</v>
      </c>
      <c r="N616">
        <v>113</v>
      </c>
      <c r="O616">
        <v>275</v>
      </c>
      <c r="P616" t="s">
        <v>2883</v>
      </c>
    </row>
    <row r="617" spans="1:16" x14ac:dyDescent="0.25">
      <c r="A617" t="s">
        <v>1144</v>
      </c>
      <c r="B617" t="s">
        <v>377</v>
      </c>
      <c r="C617" s="3">
        <v>44927</v>
      </c>
      <c r="D617" t="s">
        <v>1024</v>
      </c>
      <c r="E617">
        <v>19.989999999999998</v>
      </c>
      <c r="F617" t="s">
        <v>1029</v>
      </c>
      <c r="H617" t="s">
        <v>1145</v>
      </c>
      <c r="I617" t="s">
        <v>1145</v>
      </c>
      <c r="J617">
        <v>1378</v>
      </c>
      <c r="K617">
        <v>8</v>
      </c>
      <c r="L617" t="s">
        <v>1022</v>
      </c>
      <c r="M617">
        <v>69556</v>
      </c>
      <c r="N617">
        <v>6672</v>
      </c>
      <c r="O617">
        <v>76228</v>
      </c>
      <c r="P617" t="s">
        <v>2883</v>
      </c>
    </row>
    <row r="618" spans="1:16" x14ac:dyDescent="0.25">
      <c r="A618" t="s">
        <v>1148</v>
      </c>
      <c r="B618" t="s">
        <v>747</v>
      </c>
      <c r="C618" s="3">
        <v>45738</v>
      </c>
      <c r="D618" t="s">
        <v>1019</v>
      </c>
      <c r="F618" t="s">
        <v>1020</v>
      </c>
      <c r="H618" t="s">
        <v>1149</v>
      </c>
      <c r="I618" t="s">
        <v>1149</v>
      </c>
      <c r="J618">
        <v>1376</v>
      </c>
      <c r="K618">
        <v>8</v>
      </c>
      <c r="L618" t="s">
        <v>1022</v>
      </c>
      <c r="M618">
        <v>209</v>
      </c>
      <c r="N618">
        <v>33</v>
      </c>
      <c r="O618">
        <v>242</v>
      </c>
      <c r="P618" t="s">
        <v>2882</v>
      </c>
    </row>
    <row r="619" spans="1:16" x14ac:dyDescent="0.25">
      <c r="A619" t="s">
        <v>1857</v>
      </c>
      <c r="B619" t="s">
        <v>916</v>
      </c>
      <c r="C619" s="3">
        <v>42034</v>
      </c>
      <c r="D619" t="s">
        <v>1019</v>
      </c>
      <c r="F619" t="s">
        <v>1268</v>
      </c>
      <c r="G619">
        <v>14</v>
      </c>
      <c r="H619" t="s">
        <v>1858</v>
      </c>
      <c r="I619" t="s">
        <v>1858</v>
      </c>
      <c r="J619">
        <v>1376</v>
      </c>
      <c r="K619">
        <v>8</v>
      </c>
      <c r="L619" t="s">
        <v>1022</v>
      </c>
      <c r="M619">
        <v>7523</v>
      </c>
      <c r="N619">
        <v>1241</v>
      </c>
      <c r="O619">
        <v>8764</v>
      </c>
      <c r="P619" t="s">
        <v>2882</v>
      </c>
    </row>
    <row r="620" spans="1:16" x14ac:dyDescent="0.25">
      <c r="A620" t="s">
        <v>1146</v>
      </c>
      <c r="B620" t="s">
        <v>53</v>
      </c>
      <c r="C620" s="3">
        <v>44012</v>
      </c>
      <c r="D620" t="s">
        <v>1024</v>
      </c>
      <c r="E620">
        <v>39.99</v>
      </c>
      <c r="F620" t="s">
        <v>1086</v>
      </c>
      <c r="H620" t="s">
        <v>1147</v>
      </c>
      <c r="I620" t="s">
        <v>1147</v>
      </c>
      <c r="J620">
        <v>1371</v>
      </c>
      <c r="K620">
        <v>8</v>
      </c>
      <c r="L620" t="s">
        <v>1022</v>
      </c>
      <c r="M620">
        <v>6537</v>
      </c>
      <c r="N620">
        <v>699</v>
      </c>
      <c r="O620">
        <v>7236</v>
      </c>
      <c r="P620" t="s">
        <v>2883</v>
      </c>
    </row>
    <row r="621" spans="1:16" x14ac:dyDescent="0.25">
      <c r="A621" t="s">
        <v>1480</v>
      </c>
      <c r="B621" t="s">
        <v>312</v>
      </c>
      <c r="C621" s="3">
        <v>45807</v>
      </c>
      <c r="D621" t="s">
        <v>1024</v>
      </c>
      <c r="E621">
        <v>25.99</v>
      </c>
      <c r="F621" t="s">
        <v>1110</v>
      </c>
      <c r="G621">
        <v>109</v>
      </c>
      <c r="H621" t="s">
        <v>1481</v>
      </c>
      <c r="I621" t="s">
        <v>1481</v>
      </c>
      <c r="J621">
        <v>1366</v>
      </c>
      <c r="K621">
        <v>8</v>
      </c>
      <c r="L621" t="s">
        <v>1022</v>
      </c>
      <c r="M621">
        <v>2195</v>
      </c>
      <c r="N621">
        <v>143</v>
      </c>
      <c r="O621">
        <v>2338</v>
      </c>
      <c r="P621" t="s">
        <v>2883</v>
      </c>
    </row>
    <row r="622" spans="1:16" x14ac:dyDescent="0.25">
      <c r="A622" t="s">
        <v>2249</v>
      </c>
      <c r="B622" t="s">
        <v>963</v>
      </c>
      <c r="C622" s="3">
        <v>45764</v>
      </c>
      <c r="D622" t="s">
        <v>1024</v>
      </c>
      <c r="E622">
        <v>16.989999999999998</v>
      </c>
      <c r="F622" t="s">
        <v>1026</v>
      </c>
      <c r="G622">
        <v>62</v>
      </c>
      <c r="H622" t="s">
        <v>2250</v>
      </c>
      <c r="I622" t="s">
        <v>2251</v>
      </c>
      <c r="J622">
        <v>1365</v>
      </c>
      <c r="K622">
        <v>9</v>
      </c>
      <c r="L622" t="s">
        <v>2077</v>
      </c>
      <c r="M622">
        <v>9404</v>
      </c>
      <c r="N622">
        <v>180</v>
      </c>
      <c r="O622">
        <v>9584</v>
      </c>
      <c r="P622" t="s">
        <v>2883</v>
      </c>
    </row>
    <row r="623" spans="1:16" x14ac:dyDescent="0.25">
      <c r="A623" t="s">
        <v>1140</v>
      </c>
      <c r="B623" t="s">
        <v>874</v>
      </c>
      <c r="C623" s="3">
        <v>40570</v>
      </c>
      <c r="D623" t="s">
        <v>1024</v>
      </c>
      <c r="E623">
        <v>19.989999999999998</v>
      </c>
      <c r="F623" t="s">
        <v>1110</v>
      </c>
      <c r="H623" t="s">
        <v>1141</v>
      </c>
      <c r="I623" t="s">
        <v>1035</v>
      </c>
      <c r="J623">
        <v>1357</v>
      </c>
      <c r="K623">
        <v>8</v>
      </c>
      <c r="L623" t="s">
        <v>1022</v>
      </c>
      <c r="M623">
        <v>19542</v>
      </c>
      <c r="N623">
        <v>2925</v>
      </c>
      <c r="O623">
        <v>22467</v>
      </c>
      <c r="P623" t="s">
        <v>2883</v>
      </c>
    </row>
    <row r="624" spans="1:16" x14ac:dyDescent="0.25">
      <c r="A624" t="s">
        <v>2812</v>
      </c>
      <c r="B624" t="s">
        <v>750</v>
      </c>
      <c r="C624" s="3">
        <v>46108</v>
      </c>
      <c r="D624" t="s">
        <v>1019</v>
      </c>
      <c r="F624" t="s">
        <v>1020</v>
      </c>
      <c r="G624">
        <v>172</v>
      </c>
      <c r="H624" t="s">
        <v>2813</v>
      </c>
      <c r="I624" t="s">
        <v>2813</v>
      </c>
      <c r="J624">
        <v>1345</v>
      </c>
      <c r="K624">
        <v>9</v>
      </c>
      <c r="L624" t="s">
        <v>2077</v>
      </c>
      <c r="M624">
        <v>1526</v>
      </c>
      <c r="N624">
        <v>23</v>
      </c>
      <c r="O624">
        <v>1549</v>
      </c>
      <c r="P624" t="s">
        <v>2882</v>
      </c>
    </row>
    <row r="625" spans="1:16" x14ac:dyDescent="0.25">
      <c r="A625" t="s">
        <v>2668</v>
      </c>
      <c r="B625" t="s">
        <v>115</v>
      </c>
      <c r="C625" s="3"/>
      <c r="D625" t="s">
        <v>1024</v>
      </c>
      <c r="F625" t="s">
        <v>2892</v>
      </c>
      <c r="G625">
        <v>50</v>
      </c>
      <c r="H625" t="s">
        <v>1002</v>
      </c>
      <c r="I625" t="s">
        <v>1002</v>
      </c>
      <c r="J625">
        <v>1344</v>
      </c>
      <c r="K625">
        <v>9</v>
      </c>
      <c r="L625" t="s">
        <v>2077</v>
      </c>
      <c r="M625">
        <v>13373</v>
      </c>
      <c r="N625">
        <v>613</v>
      </c>
      <c r="O625">
        <v>13986</v>
      </c>
      <c r="P625" t="s">
        <v>2883</v>
      </c>
    </row>
    <row r="626" spans="1:16" x14ac:dyDescent="0.25">
      <c r="A626" t="s">
        <v>2810</v>
      </c>
      <c r="B626" t="s">
        <v>24</v>
      </c>
      <c r="C626" s="3">
        <v>46190</v>
      </c>
      <c r="D626" t="s">
        <v>1019</v>
      </c>
      <c r="F626" t="s">
        <v>1020</v>
      </c>
      <c r="H626" t="s">
        <v>2811</v>
      </c>
      <c r="I626" t="s">
        <v>2811</v>
      </c>
      <c r="J626">
        <v>1337</v>
      </c>
      <c r="K626">
        <v>5</v>
      </c>
      <c r="L626" t="s">
        <v>2514</v>
      </c>
      <c r="M626">
        <v>92</v>
      </c>
      <c r="N626">
        <v>59</v>
      </c>
      <c r="O626">
        <v>151</v>
      </c>
      <c r="P626" t="s">
        <v>2882</v>
      </c>
    </row>
    <row r="627" spans="1:16" x14ac:dyDescent="0.25">
      <c r="A627" t="s">
        <v>1487</v>
      </c>
      <c r="B627" t="s">
        <v>826</v>
      </c>
      <c r="C627" s="3">
        <v>44736</v>
      </c>
      <c r="D627" t="s">
        <v>1024</v>
      </c>
      <c r="E627">
        <v>11.99</v>
      </c>
      <c r="F627" t="s">
        <v>1026</v>
      </c>
      <c r="G627">
        <v>21</v>
      </c>
      <c r="H627" t="s">
        <v>1488</v>
      </c>
      <c r="I627" t="s">
        <v>1489</v>
      </c>
      <c r="J627">
        <v>1332</v>
      </c>
      <c r="K627">
        <v>8</v>
      </c>
      <c r="L627" t="s">
        <v>1022</v>
      </c>
      <c r="M627">
        <v>15332</v>
      </c>
      <c r="N627">
        <v>1537</v>
      </c>
      <c r="O627">
        <v>16869</v>
      </c>
      <c r="P627" t="s">
        <v>2883</v>
      </c>
    </row>
    <row r="628" spans="1:16" x14ac:dyDescent="0.25">
      <c r="A628" t="s">
        <v>2442</v>
      </c>
      <c r="B628" t="s">
        <v>694</v>
      </c>
      <c r="C628" s="3">
        <v>41354</v>
      </c>
      <c r="D628" t="s">
        <v>1024</v>
      </c>
      <c r="E628">
        <v>19.989999999999998</v>
      </c>
      <c r="F628" t="s">
        <v>1113</v>
      </c>
      <c r="G628">
        <v>70</v>
      </c>
      <c r="H628" t="s">
        <v>1473</v>
      </c>
      <c r="I628" t="s">
        <v>1473</v>
      </c>
      <c r="J628">
        <v>1331</v>
      </c>
      <c r="K628">
        <v>6</v>
      </c>
      <c r="L628" t="s">
        <v>2338</v>
      </c>
      <c r="M628">
        <v>15983</v>
      </c>
      <c r="N628">
        <v>6422</v>
      </c>
      <c r="O628">
        <v>22405</v>
      </c>
      <c r="P628" t="s">
        <v>2883</v>
      </c>
    </row>
    <row r="629" spans="1:16" x14ac:dyDescent="0.25">
      <c r="A629" t="s">
        <v>2814</v>
      </c>
      <c r="B629" t="s">
        <v>238</v>
      </c>
      <c r="C629" s="3">
        <v>45909</v>
      </c>
      <c r="D629" t="s">
        <v>1019</v>
      </c>
      <c r="F629" t="s">
        <v>1020</v>
      </c>
      <c r="G629">
        <v>23</v>
      </c>
      <c r="H629" t="s">
        <v>2815</v>
      </c>
      <c r="I629" t="s">
        <v>1324</v>
      </c>
      <c r="J629">
        <v>1330</v>
      </c>
      <c r="K629">
        <v>5</v>
      </c>
      <c r="L629" t="s">
        <v>2514</v>
      </c>
      <c r="M629">
        <v>3448</v>
      </c>
      <c r="N629">
        <v>1995</v>
      </c>
      <c r="O629">
        <v>5443</v>
      </c>
      <c r="P629" t="s">
        <v>2882</v>
      </c>
    </row>
    <row r="630" spans="1:16" x14ac:dyDescent="0.25">
      <c r="A630" t="s">
        <v>1482</v>
      </c>
      <c r="B630" t="s">
        <v>2</v>
      </c>
      <c r="C630" s="3">
        <v>45800</v>
      </c>
      <c r="D630" t="s">
        <v>1024</v>
      </c>
      <c r="E630">
        <v>19.989999999999998</v>
      </c>
      <c r="F630" t="s">
        <v>1026</v>
      </c>
      <c r="G630">
        <v>54</v>
      </c>
      <c r="H630" t="s">
        <v>1483</v>
      </c>
      <c r="I630" t="s">
        <v>1254</v>
      </c>
      <c r="J630">
        <v>1329</v>
      </c>
      <c r="K630">
        <v>8</v>
      </c>
      <c r="L630" t="s">
        <v>1022</v>
      </c>
      <c r="M630">
        <v>9554</v>
      </c>
      <c r="N630">
        <v>750</v>
      </c>
      <c r="O630">
        <v>10304</v>
      </c>
      <c r="P630" t="s">
        <v>2883</v>
      </c>
    </row>
    <row r="631" spans="1:16" x14ac:dyDescent="0.25">
      <c r="A631" t="s">
        <v>2816</v>
      </c>
      <c r="B631" t="s">
        <v>760</v>
      </c>
      <c r="C631" s="3">
        <v>42255</v>
      </c>
      <c r="D631" t="s">
        <v>1019</v>
      </c>
      <c r="F631" t="s">
        <v>1020</v>
      </c>
      <c r="G631">
        <v>319</v>
      </c>
      <c r="H631" t="s">
        <v>2633</v>
      </c>
      <c r="I631" t="s">
        <v>1875</v>
      </c>
      <c r="J631">
        <v>1327</v>
      </c>
      <c r="K631">
        <v>6</v>
      </c>
      <c r="L631" t="s">
        <v>2338</v>
      </c>
      <c r="M631">
        <v>52303</v>
      </c>
      <c r="N631">
        <v>15644</v>
      </c>
      <c r="O631">
        <v>67947</v>
      </c>
      <c r="P631" t="s">
        <v>2882</v>
      </c>
    </row>
    <row r="632" spans="1:16" x14ac:dyDescent="0.25">
      <c r="A632" t="s">
        <v>2243</v>
      </c>
      <c r="B632" t="s">
        <v>968</v>
      </c>
      <c r="C632" s="3">
        <v>45918</v>
      </c>
      <c r="D632" t="s">
        <v>1024</v>
      </c>
      <c r="E632">
        <v>24.99</v>
      </c>
      <c r="F632" t="s">
        <v>1110</v>
      </c>
      <c r="G632">
        <v>68</v>
      </c>
      <c r="H632" t="s">
        <v>2244</v>
      </c>
      <c r="I632" t="s">
        <v>2244</v>
      </c>
      <c r="J632">
        <v>1324</v>
      </c>
      <c r="K632">
        <v>9</v>
      </c>
      <c r="L632" t="s">
        <v>2077</v>
      </c>
      <c r="M632">
        <v>18790</v>
      </c>
      <c r="N632">
        <v>552</v>
      </c>
      <c r="O632">
        <v>19342</v>
      </c>
      <c r="P632" t="s">
        <v>2883</v>
      </c>
    </row>
    <row r="633" spans="1:16" x14ac:dyDescent="0.25">
      <c r="A633" t="s">
        <v>2572</v>
      </c>
      <c r="B633" t="s">
        <v>212</v>
      </c>
      <c r="C633" s="3">
        <v>46210</v>
      </c>
      <c r="D633" t="s">
        <v>1024</v>
      </c>
      <c r="E633">
        <v>11.99</v>
      </c>
      <c r="F633" t="s">
        <v>1026</v>
      </c>
      <c r="G633">
        <v>66</v>
      </c>
      <c r="H633" t="s">
        <v>2573</v>
      </c>
      <c r="I633" t="s">
        <v>2033</v>
      </c>
      <c r="J633">
        <v>1322</v>
      </c>
      <c r="K633">
        <v>7</v>
      </c>
      <c r="L633" t="s">
        <v>2574</v>
      </c>
      <c r="M633">
        <v>12</v>
      </c>
      <c r="N633">
        <v>0</v>
      </c>
      <c r="O633">
        <v>12</v>
      </c>
      <c r="P633" t="s">
        <v>2883</v>
      </c>
    </row>
    <row r="634" spans="1:16" x14ac:dyDescent="0.25">
      <c r="A634" t="s">
        <v>2807</v>
      </c>
      <c r="B634" t="s">
        <v>787</v>
      </c>
      <c r="C634" s="3">
        <v>40939</v>
      </c>
      <c r="D634" t="s">
        <v>1019</v>
      </c>
      <c r="F634" t="s">
        <v>1020</v>
      </c>
      <c r="H634" t="s">
        <v>2808</v>
      </c>
      <c r="I634" t="s">
        <v>1724</v>
      </c>
      <c r="J634">
        <v>1321</v>
      </c>
      <c r="K634">
        <v>6</v>
      </c>
      <c r="L634" t="s">
        <v>2338</v>
      </c>
      <c r="M634">
        <v>13276</v>
      </c>
      <c r="N634">
        <v>3483</v>
      </c>
      <c r="O634">
        <v>16759</v>
      </c>
      <c r="P634" t="s">
        <v>2882</v>
      </c>
    </row>
    <row r="635" spans="1:16" x14ac:dyDescent="0.25">
      <c r="A635" t="s">
        <v>1142</v>
      </c>
      <c r="B635" t="s">
        <v>149</v>
      </c>
      <c r="C635" s="3">
        <v>45037</v>
      </c>
      <c r="D635" t="s">
        <v>1019</v>
      </c>
      <c r="F635" t="s">
        <v>1020</v>
      </c>
      <c r="H635" t="s">
        <v>1143</v>
      </c>
      <c r="I635" t="s">
        <v>1143</v>
      </c>
      <c r="J635">
        <v>1319</v>
      </c>
      <c r="K635">
        <v>8</v>
      </c>
      <c r="L635" t="s">
        <v>1022</v>
      </c>
      <c r="M635">
        <v>22008</v>
      </c>
      <c r="N635">
        <v>3077</v>
      </c>
      <c r="O635">
        <v>25085</v>
      </c>
      <c r="P635" t="s">
        <v>2882</v>
      </c>
    </row>
    <row r="636" spans="1:16" x14ac:dyDescent="0.25">
      <c r="A636" t="s">
        <v>1485</v>
      </c>
      <c r="B636" t="s">
        <v>818</v>
      </c>
      <c r="C636" s="3">
        <v>45163</v>
      </c>
      <c r="D636" t="s">
        <v>1024</v>
      </c>
      <c r="E636">
        <v>19.989999999999998</v>
      </c>
      <c r="F636" t="s">
        <v>1026</v>
      </c>
      <c r="G636">
        <v>107</v>
      </c>
      <c r="H636" t="s">
        <v>1486</v>
      </c>
      <c r="I636" t="s">
        <v>1486</v>
      </c>
      <c r="J636">
        <v>1314</v>
      </c>
      <c r="K636">
        <v>8</v>
      </c>
      <c r="L636" t="s">
        <v>1022</v>
      </c>
      <c r="M636">
        <v>8734</v>
      </c>
      <c r="N636">
        <v>1671</v>
      </c>
      <c r="O636">
        <v>10405</v>
      </c>
      <c r="P636" t="s">
        <v>2883</v>
      </c>
    </row>
    <row r="637" spans="1:16" x14ac:dyDescent="0.25">
      <c r="A637" t="s">
        <v>2256</v>
      </c>
      <c r="B637" t="s">
        <v>67</v>
      </c>
      <c r="C637" s="3">
        <v>41159</v>
      </c>
      <c r="D637" t="s">
        <v>1024</v>
      </c>
      <c r="E637">
        <v>19.989999999999998</v>
      </c>
      <c r="F637" t="s">
        <v>1113</v>
      </c>
      <c r="G637">
        <v>64</v>
      </c>
      <c r="H637" t="s">
        <v>1371</v>
      </c>
      <c r="I637" t="s">
        <v>1372</v>
      </c>
      <c r="J637">
        <v>1314</v>
      </c>
      <c r="K637">
        <v>9</v>
      </c>
      <c r="L637" t="s">
        <v>2077</v>
      </c>
      <c r="M637">
        <v>35330</v>
      </c>
      <c r="N637">
        <v>1388</v>
      </c>
      <c r="O637">
        <v>36718</v>
      </c>
      <c r="P637" t="s">
        <v>2883</v>
      </c>
    </row>
    <row r="638" spans="1:16" x14ac:dyDescent="0.25">
      <c r="A638" t="s">
        <v>1138</v>
      </c>
      <c r="B638" t="s">
        <v>563</v>
      </c>
      <c r="C638" s="3">
        <v>44279</v>
      </c>
      <c r="D638" t="s">
        <v>1019</v>
      </c>
      <c r="F638" t="s">
        <v>1020</v>
      </c>
      <c r="H638" t="s">
        <v>1139</v>
      </c>
      <c r="I638" t="s">
        <v>1139</v>
      </c>
      <c r="J638">
        <v>1311</v>
      </c>
      <c r="K638">
        <v>8</v>
      </c>
      <c r="L638" t="s">
        <v>1022</v>
      </c>
      <c r="M638">
        <v>29784</v>
      </c>
      <c r="N638">
        <v>1748</v>
      </c>
      <c r="O638">
        <v>31532</v>
      </c>
      <c r="P638" t="s">
        <v>2882</v>
      </c>
    </row>
    <row r="639" spans="1:16" x14ac:dyDescent="0.25">
      <c r="A639" t="s">
        <v>1484</v>
      </c>
      <c r="B639" t="s">
        <v>898</v>
      </c>
      <c r="C639" s="3">
        <v>41337</v>
      </c>
      <c r="D639" t="s">
        <v>1024</v>
      </c>
      <c r="E639">
        <v>19.989999999999998</v>
      </c>
      <c r="F639" t="s">
        <v>1113</v>
      </c>
      <c r="G639">
        <v>50</v>
      </c>
      <c r="H639" t="s">
        <v>1420</v>
      </c>
      <c r="I639" t="s">
        <v>1420</v>
      </c>
      <c r="J639">
        <v>1303</v>
      </c>
      <c r="K639">
        <v>8</v>
      </c>
      <c r="L639" t="s">
        <v>1022</v>
      </c>
      <c r="M639">
        <v>75969</v>
      </c>
      <c r="N639">
        <v>4613</v>
      </c>
      <c r="O639">
        <v>80582</v>
      </c>
      <c r="P639" t="s">
        <v>2883</v>
      </c>
    </row>
    <row r="640" spans="1:16" x14ac:dyDescent="0.25">
      <c r="A640" t="s">
        <v>1862</v>
      </c>
      <c r="B640" t="s">
        <v>8</v>
      </c>
      <c r="C640" s="3">
        <v>42093</v>
      </c>
      <c r="D640" t="s">
        <v>1019</v>
      </c>
      <c r="F640" t="s">
        <v>1020</v>
      </c>
      <c r="G640">
        <v>31</v>
      </c>
      <c r="H640" t="s">
        <v>1863</v>
      </c>
      <c r="I640" t="s">
        <v>1863</v>
      </c>
      <c r="J640">
        <v>1302</v>
      </c>
      <c r="K640">
        <v>8</v>
      </c>
      <c r="L640" t="s">
        <v>1022</v>
      </c>
      <c r="M640">
        <v>33047</v>
      </c>
      <c r="N640">
        <v>5344</v>
      </c>
      <c r="O640">
        <v>38391</v>
      </c>
      <c r="P640" t="s">
        <v>2882</v>
      </c>
    </row>
    <row r="641" spans="1:16" x14ac:dyDescent="0.25">
      <c r="A641" t="s">
        <v>1864</v>
      </c>
      <c r="B641" t="s">
        <v>655</v>
      </c>
      <c r="C641" s="3">
        <v>44481</v>
      </c>
      <c r="D641" t="s">
        <v>1019</v>
      </c>
      <c r="F641" t="s">
        <v>1208</v>
      </c>
      <c r="G641">
        <v>100</v>
      </c>
      <c r="H641" t="s">
        <v>1865</v>
      </c>
      <c r="I641" t="s">
        <v>1865</v>
      </c>
      <c r="J641">
        <v>1300</v>
      </c>
      <c r="K641">
        <v>8</v>
      </c>
      <c r="L641" t="s">
        <v>1022</v>
      </c>
      <c r="M641">
        <v>54212</v>
      </c>
      <c r="N641">
        <v>7277</v>
      </c>
      <c r="O641">
        <v>61489</v>
      </c>
      <c r="P641" t="s">
        <v>2882</v>
      </c>
    </row>
    <row r="642" spans="1:16" x14ac:dyDescent="0.25">
      <c r="A642" t="s">
        <v>2582</v>
      </c>
      <c r="B642" t="s">
        <v>74</v>
      </c>
      <c r="C642" s="3">
        <v>44519</v>
      </c>
      <c r="D642" t="s">
        <v>1024</v>
      </c>
      <c r="E642">
        <v>59.99</v>
      </c>
      <c r="F642" t="s">
        <v>1029</v>
      </c>
      <c r="G642">
        <v>34</v>
      </c>
      <c r="H642" t="s">
        <v>1277</v>
      </c>
      <c r="I642" t="s">
        <v>1035</v>
      </c>
      <c r="J642">
        <v>1299</v>
      </c>
      <c r="K642">
        <v>5</v>
      </c>
      <c r="L642" t="s">
        <v>2514</v>
      </c>
      <c r="M642">
        <v>59515</v>
      </c>
      <c r="N642">
        <v>73690</v>
      </c>
      <c r="O642">
        <v>133205</v>
      </c>
      <c r="P642" t="s">
        <v>2883</v>
      </c>
    </row>
    <row r="643" spans="1:16" x14ac:dyDescent="0.25">
      <c r="A643" t="s">
        <v>1860</v>
      </c>
      <c r="B643" t="s">
        <v>931</v>
      </c>
      <c r="C643" s="3">
        <v>45933</v>
      </c>
      <c r="D643" t="s">
        <v>1019</v>
      </c>
      <c r="F643" t="s">
        <v>1020</v>
      </c>
      <c r="G643">
        <v>35</v>
      </c>
      <c r="H643" t="s">
        <v>1861</v>
      </c>
      <c r="I643" t="s">
        <v>1861</v>
      </c>
      <c r="J643">
        <v>1293</v>
      </c>
      <c r="K643">
        <v>8</v>
      </c>
      <c r="L643" t="s">
        <v>1022</v>
      </c>
      <c r="M643">
        <v>4085</v>
      </c>
      <c r="N643">
        <v>421</v>
      </c>
      <c r="O643">
        <v>4506</v>
      </c>
      <c r="P643" t="s">
        <v>2882</v>
      </c>
    </row>
    <row r="644" spans="1:16" x14ac:dyDescent="0.25">
      <c r="A644" t="s">
        <v>1494</v>
      </c>
      <c r="B644" t="s">
        <v>119</v>
      </c>
      <c r="C644" s="3">
        <v>41225</v>
      </c>
      <c r="D644" t="s">
        <v>1024</v>
      </c>
      <c r="E644">
        <v>39.99</v>
      </c>
      <c r="F644" t="s">
        <v>1189</v>
      </c>
      <c r="G644">
        <v>35</v>
      </c>
      <c r="H644" t="s">
        <v>1271</v>
      </c>
      <c r="I644" t="s">
        <v>1272</v>
      </c>
      <c r="J644">
        <v>1289</v>
      </c>
      <c r="K644">
        <v>8</v>
      </c>
      <c r="L644" t="s">
        <v>1022</v>
      </c>
      <c r="M644">
        <v>6492</v>
      </c>
      <c r="N644">
        <v>607</v>
      </c>
      <c r="O644">
        <v>7099</v>
      </c>
      <c r="P644" t="s">
        <v>2883</v>
      </c>
    </row>
    <row r="645" spans="1:16" x14ac:dyDescent="0.25">
      <c r="A645" t="s">
        <v>1133</v>
      </c>
      <c r="B645" t="s">
        <v>459</v>
      </c>
      <c r="C645" s="3">
        <v>43936</v>
      </c>
      <c r="D645" t="s">
        <v>1019</v>
      </c>
      <c r="F645" t="s">
        <v>1020</v>
      </c>
      <c r="H645" t="s">
        <v>1134</v>
      </c>
      <c r="I645" t="s">
        <v>1134</v>
      </c>
      <c r="J645">
        <v>1285</v>
      </c>
      <c r="K645">
        <v>8</v>
      </c>
      <c r="L645" t="s">
        <v>1022</v>
      </c>
      <c r="M645">
        <v>8379</v>
      </c>
      <c r="N645">
        <v>1998</v>
      </c>
      <c r="O645">
        <v>10377</v>
      </c>
      <c r="P645" t="s">
        <v>2882</v>
      </c>
    </row>
    <row r="646" spans="1:16" x14ac:dyDescent="0.25">
      <c r="A646" t="s">
        <v>2819</v>
      </c>
      <c r="B646" t="s">
        <v>724</v>
      </c>
      <c r="C646" s="3">
        <v>45552</v>
      </c>
      <c r="D646" t="s">
        <v>1019</v>
      </c>
      <c r="F646" t="s">
        <v>1020</v>
      </c>
      <c r="H646" t="s">
        <v>2820</v>
      </c>
      <c r="I646" t="s">
        <v>2820</v>
      </c>
      <c r="J646">
        <v>1279</v>
      </c>
      <c r="K646">
        <v>9</v>
      </c>
      <c r="L646" t="s">
        <v>2077</v>
      </c>
      <c r="M646">
        <v>1559</v>
      </c>
      <c r="N646">
        <v>36</v>
      </c>
      <c r="O646">
        <v>1595</v>
      </c>
      <c r="P646" t="s">
        <v>2882</v>
      </c>
    </row>
    <row r="647" spans="1:16" x14ac:dyDescent="0.25">
      <c r="A647" t="s">
        <v>2254</v>
      </c>
      <c r="B647" t="s">
        <v>355</v>
      </c>
      <c r="C647" s="3">
        <v>41166</v>
      </c>
      <c r="D647" t="s">
        <v>1024</v>
      </c>
      <c r="E647">
        <v>9.99</v>
      </c>
      <c r="F647" t="s">
        <v>1047</v>
      </c>
      <c r="G647">
        <v>51</v>
      </c>
      <c r="H647" t="s">
        <v>2255</v>
      </c>
      <c r="I647" t="s">
        <v>2255</v>
      </c>
      <c r="J647">
        <v>1278</v>
      </c>
      <c r="K647">
        <v>9</v>
      </c>
      <c r="L647" t="s">
        <v>2077</v>
      </c>
      <c r="M647">
        <v>56397</v>
      </c>
      <c r="N647">
        <v>2594</v>
      </c>
      <c r="O647">
        <v>58991</v>
      </c>
      <c r="P647" t="s">
        <v>2883</v>
      </c>
    </row>
    <row r="648" spans="1:16" x14ac:dyDescent="0.25">
      <c r="A648" t="s">
        <v>1150</v>
      </c>
      <c r="B648" t="s">
        <v>862</v>
      </c>
      <c r="C648" s="3">
        <v>41066</v>
      </c>
      <c r="D648" t="s">
        <v>1019</v>
      </c>
      <c r="F648" t="s">
        <v>1020</v>
      </c>
      <c r="H648" t="s">
        <v>1151</v>
      </c>
      <c r="I648" t="s">
        <v>1152</v>
      </c>
      <c r="J648">
        <v>1274</v>
      </c>
      <c r="K648">
        <v>8</v>
      </c>
      <c r="L648" t="s">
        <v>1022</v>
      </c>
      <c r="M648">
        <v>11699</v>
      </c>
      <c r="N648">
        <v>2728</v>
      </c>
      <c r="O648">
        <v>14427</v>
      </c>
      <c r="P648" t="s">
        <v>2882</v>
      </c>
    </row>
    <row r="649" spans="1:16" x14ac:dyDescent="0.25">
      <c r="A649" t="s">
        <v>1859</v>
      </c>
      <c r="B649" t="s">
        <v>39</v>
      </c>
      <c r="C649" s="3">
        <v>44775</v>
      </c>
      <c r="D649" t="s">
        <v>1019</v>
      </c>
      <c r="F649" t="s">
        <v>1020</v>
      </c>
      <c r="G649">
        <v>42</v>
      </c>
      <c r="H649" t="s">
        <v>1292</v>
      </c>
      <c r="I649" t="s">
        <v>1292</v>
      </c>
      <c r="J649">
        <v>1274</v>
      </c>
      <c r="K649">
        <v>8</v>
      </c>
      <c r="L649" t="s">
        <v>1022</v>
      </c>
      <c r="M649">
        <v>6178</v>
      </c>
      <c r="N649">
        <v>1536</v>
      </c>
      <c r="O649">
        <v>7714</v>
      </c>
      <c r="P649" t="s">
        <v>2882</v>
      </c>
    </row>
    <row r="650" spans="1:16" x14ac:dyDescent="0.25">
      <c r="A650" t="s">
        <v>2817</v>
      </c>
      <c r="B650" t="s">
        <v>352</v>
      </c>
      <c r="C650" s="3">
        <v>45722</v>
      </c>
      <c r="D650" t="s">
        <v>1019</v>
      </c>
      <c r="F650" t="s">
        <v>1020</v>
      </c>
      <c r="H650" t="s">
        <v>2818</v>
      </c>
      <c r="I650" t="s">
        <v>1788</v>
      </c>
      <c r="J650">
        <v>1273</v>
      </c>
      <c r="K650">
        <v>6</v>
      </c>
      <c r="L650" t="s">
        <v>2338</v>
      </c>
      <c r="M650">
        <v>17957</v>
      </c>
      <c r="N650">
        <v>5908</v>
      </c>
      <c r="O650">
        <v>23865</v>
      </c>
      <c r="P650" t="s">
        <v>2882</v>
      </c>
    </row>
    <row r="651" spans="1:16" x14ac:dyDescent="0.25">
      <c r="A651" t="s">
        <v>2257</v>
      </c>
      <c r="B651" t="s">
        <v>373</v>
      </c>
      <c r="C651" s="3">
        <v>46219</v>
      </c>
      <c r="D651" t="s">
        <v>1024</v>
      </c>
      <c r="E651">
        <v>27.99</v>
      </c>
      <c r="F651" t="s">
        <v>1047</v>
      </c>
      <c r="G651">
        <v>56</v>
      </c>
      <c r="H651" t="s">
        <v>2258</v>
      </c>
      <c r="I651" t="s">
        <v>2258</v>
      </c>
      <c r="J651">
        <v>1271</v>
      </c>
      <c r="K651">
        <v>9</v>
      </c>
      <c r="L651" t="s">
        <v>2077</v>
      </c>
      <c r="M651">
        <v>1058</v>
      </c>
      <c r="N651">
        <v>42</v>
      </c>
      <c r="O651">
        <v>1100</v>
      </c>
      <c r="P651" t="s">
        <v>2883</v>
      </c>
    </row>
    <row r="652" spans="1:16" x14ac:dyDescent="0.25">
      <c r="A652" t="s">
        <v>2252</v>
      </c>
      <c r="B652" t="s">
        <v>140</v>
      </c>
      <c r="C652" s="3">
        <v>45977</v>
      </c>
      <c r="D652" t="s">
        <v>1024</v>
      </c>
      <c r="E652">
        <v>11.99</v>
      </c>
      <c r="F652" t="s">
        <v>1208</v>
      </c>
      <c r="G652">
        <v>23</v>
      </c>
      <c r="H652" t="s">
        <v>2253</v>
      </c>
      <c r="I652" t="s">
        <v>2253</v>
      </c>
      <c r="J652">
        <v>1265</v>
      </c>
      <c r="K652">
        <v>9</v>
      </c>
      <c r="L652" t="s">
        <v>2077</v>
      </c>
      <c r="M652">
        <v>1341</v>
      </c>
      <c r="N652">
        <v>35</v>
      </c>
      <c r="O652">
        <v>1376</v>
      </c>
      <c r="P652" t="s">
        <v>2883</v>
      </c>
    </row>
    <row r="653" spans="1:16" x14ac:dyDescent="0.25">
      <c r="A653" t="s">
        <v>1492</v>
      </c>
      <c r="B653" t="s">
        <v>748</v>
      </c>
      <c r="C653" s="3">
        <v>45572</v>
      </c>
      <c r="D653" t="s">
        <v>1024</v>
      </c>
      <c r="E653">
        <v>69.989999999999995</v>
      </c>
      <c r="F653" t="s">
        <v>1113</v>
      </c>
      <c r="G653">
        <v>43</v>
      </c>
      <c r="H653" t="s">
        <v>1493</v>
      </c>
      <c r="I653" t="s">
        <v>1418</v>
      </c>
      <c r="J653">
        <v>1257</v>
      </c>
      <c r="K653">
        <v>8</v>
      </c>
      <c r="L653" t="s">
        <v>1022</v>
      </c>
      <c r="M653">
        <v>32105</v>
      </c>
      <c r="N653">
        <v>1826</v>
      </c>
      <c r="O653">
        <v>33931</v>
      </c>
      <c r="P653" t="s">
        <v>2883</v>
      </c>
    </row>
    <row r="654" spans="1:16" x14ac:dyDescent="0.25">
      <c r="A654" t="s">
        <v>2443</v>
      </c>
      <c r="B654" t="s">
        <v>842</v>
      </c>
      <c r="C654" s="3">
        <v>45400</v>
      </c>
      <c r="D654" t="s">
        <v>1024</v>
      </c>
      <c r="E654">
        <v>69.989999999999995</v>
      </c>
      <c r="F654" t="s">
        <v>1178</v>
      </c>
      <c r="G654">
        <v>50</v>
      </c>
      <c r="H654" t="s">
        <v>2444</v>
      </c>
      <c r="I654" t="s">
        <v>1212</v>
      </c>
      <c r="J654">
        <v>1256</v>
      </c>
      <c r="K654">
        <v>6</v>
      </c>
      <c r="L654" t="s">
        <v>2338</v>
      </c>
      <c r="M654">
        <v>8115</v>
      </c>
      <c r="N654">
        <v>2244</v>
      </c>
      <c r="O654">
        <v>10359</v>
      </c>
      <c r="P654" t="s">
        <v>2883</v>
      </c>
    </row>
    <row r="655" spans="1:16" x14ac:dyDescent="0.25">
      <c r="A655" t="s">
        <v>1989</v>
      </c>
      <c r="B655" t="s">
        <v>665</v>
      </c>
      <c r="C655" s="3">
        <v>42283</v>
      </c>
      <c r="D655" t="s">
        <v>1024</v>
      </c>
      <c r="E655">
        <v>29.99</v>
      </c>
      <c r="F655" t="s">
        <v>1047</v>
      </c>
      <c r="G655">
        <v>18</v>
      </c>
      <c r="H655" t="s">
        <v>1990</v>
      </c>
      <c r="I655" t="s">
        <v>1846</v>
      </c>
      <c r="J655">
        <v>1255</v>
      </c>
      <c r="K655">
        <v>8</v>
      </c>
      <c r="L655" t="s">
        <v>1022</v>
      </c>
      <c r="M655">
        <v>36290</v>
      </c>
      <c r="N655">
        <v>4722</v>
      </c>
      <c r="O655">
        <v>41012</v>
      </c>
      <c r="P655" t="s">
        <v>2883</v>
      </c>
    </row>
    <row r="656" spans="1:16" x14ac:dyDescent="0.25">
      <c r="A656" t="s">
        <v>2590</v>
      </c>
      <c r="B656" t="s">
        <v>992</v>
      </c>
      <c r="C656" s="3">
        <v>46223</v>
      </c>
      <c r="D656" t="s">
        <v>1024</v>
      </c>
      <c r="E656">
        <v>39.99</v>
      </c>
      <c r="F656" t="s">
        <v>1026</v>
      </c>
      <c r="G656">
        <v>1</v>
      </c>
      <c r="H656" t="s">
        <v>2591</v>
      </c>
      <c r="I656" t="s">
        <v>2591</v>
      </c>
      <c r="J656">
        <v>1254</v>
      </c>
      <c r="K656">
        <v>7</v>
      </c>
      <c r="L656" t="s">
        <v>2574</v>
      </c>
      <c r="M656">
        <v>18</v>
      </c>
      <c r="N656">
        <v>2</v>
      </c>
      <c r="O656">
        <v>20</v>
      </c>
      <c r="P656" t="s">
        <v>2883</v>
      </c>
    </row>
    <row r="657" spans="1:16" x14ac:dyDescent="0.25">
      <c r="A657" t="s">
        <v>1153</v>
      </c>
      <c r="B657" t="s">
        <v>936</v>
      </c>
      <c r="C657" s="3">
        <v>45954</v>
      </c>
      <c r="D657" t="s">
        <v>1024</v>
      </c>
      <c r="E657">
        <v>19.989999999999998</v>
      </c>
      <c r="F657" t="s">
        <v>1026</v>
      </c>
      <c r="H657" t="s">
        <v>1154</v>
      </c>
      <c r="I657" t="s">
        <v>1154</v>
      </c>
      <c r="J657">
        <v>1250</v>
      </c>
      <c r="K657">
        <v>8</v>
      </c>
      <c r="L657" t="s">
        <v>1022</v>
      </c>
      <c r="M657">
        <v>7554</v>
      </c>
      <c r="N657">
        <v>847</v>
      </c>
      <c r="O657">
        <v>8401</v>
      </c>
      <c r="P657" t="s">
        <v>2883</v>
      </c>
    </row>
    <row r="658" spans="1:16" x14ac:dyDescent="0.25">
      <c r="A658" t="s">
        <v>1497</v>
      </c>
      <c r="B658" t="s">
        <v>215</v>
      </c>
      <c r="C658" s="3">
        <v>43172</v>
      </c>
      <c r="D658" t="s">
        <v>1024</v>
      </c>
      <c r="E658">
        <v>29.99</v>
      </c>
      <c r="F658" t="s">
        <v>1189</v>
      </c>
      <c r="G658">
        <v>99</v>
      </c>
      <c r="H658" t="s">
        <v>1233</v>
      </c>
      <c r="I658" t="s">
        <v>1233</v>
      </c>
      <c r="J658">
        <v>1240</v>
      </c>
      <c r="K658">
        <v>8</v>
      </c>
      <c r="L658" t="s">
        <v>1022</v>
      </c>
      <c r="M658">
        <v>10626</v>
      </c>
      <c r="N658">
        <v>751</v>
      </c>
      <c r="O658">
        <v>11377</v>
      </c>
      <c r="P658" t="s">
        <v>2883</v>
      </c>
    </row>
    <row r="659" spans="1:16" x14ac:dyDescent="0.25">
      <c r="A659" t="s">
        <v>2448</v>
      </c>
      <c r="B659" t="s">
        <v>678</v>
      </c>
      <c r="C659" s="3">
        <v>45233</v>
      </c>
      <c r="D659" t="s">
        <v>1024</v>
      </c>
      <c r="E659">
        <v>24.99</v>
      </c>
      <c r="F659" t="s">
        <v>1110</v>
      </c>
      <c r="G659">
        <v>39</v>
      </c>
      <c r="H659" t="s">
        <v>2449</v>
      </c>
      <c r="I659" t="s">
        <v>2450</v>
      </c>
      <c r="J659">
        <v>1239</v>
      </c>
      <c r="K659">
        <v>6</v>
      </c>
      <c r="L659" t="s">
        <v>2338</v>
      </c>
      <c r="M659">
        <v>10604</v>
      </c>
      <c r="N659">
        <v>3155</v>
      </c>
      <c r="O659">
        <v>13759</v>
      </c>
      <c r="P659" t="s">
        <v>2883</v>
      </c>
    </row>
    <row r="660" spans="1:16" x14ac:dyDescent="0.25">
      <c r="A660" t="s">
        <v>2823</v>
      </c>
      <c r="B660" t="s">
        <v>764</v>
      </c>
      <c r="C660" s="3">
        <v>45588</v>
      </c>
      <c r="D660" t="s">
        <v>1019</v>
      </c>
      <c r="F660" t="s">
        <v>1020</v>
      </c>
      <c r="G660">
        <v>24</v>
      </c>
      <c r="H660" t="s">
        <v>2824</v>
      </c>
      <c r="I660" t="s">
        <v>2824</v>
      </c>
      <c r="J660">
        <v>1236</v>
      </c>
      <c r="K660">
        <v>6</v>
      </c>
      <c r="L660" t="s">
        <v>2338</v>
      </c>
      <c r="M660">
        <v>488</v>
      </c>
      <c r="N660">
        <v>185</v>
      </c>
      <c r="O660">
        <v>673</v>
      </c>
      <c r="P660" t="s">
        <v>2882</v>
      </c>
    </row>
    <row r="661" spans="1:16" x14ac:dyDescent="0.25">
      <c r="A661" t="s">
        <v>2259</v>
      </c>
      <c r="B661" t="s">
        <v>698</v>
      </c>
      <c r="C661" s="3">
        <v>46098</v>
      </c>
      <c r="D661" t="s">
        <v>1024</v>
      </c>
      <c r="E661">
        <v>19.899999999999999</v>
      </c>
      <c r="F661" t="s">
        <v>1110</v>
      </c>
      <c r="G661">
        <v>18</v>
      </c>
      <c r="H661" t="s">
        <v>2260</v>
      </c>
      <c r="I661" t="s">
        <v>2260</v>
      </c>
      <c r="J661">
        <v>1235</v>
      </c>
      <c r="K661">
        <v>9</v>
      </c>
      <c r="L661" t="s">
        <v>2077</v>
      </c>
      <c r="M661">
        <v>6867</v>
      </c>
      <c r="N661">
        <v>313</v>
      </c>
      <c r="O661">
        <v>7180</v>
      </c>
      <c r="P661" t="s">
        <v>2883</v>
      </c>
    </row>
    <row r="662" spans="1:16" x14ac:dyDescent="0.25">
      <c r="A662" t="s">
        <v>2583</v>
      </c>
      <c r="B662" t="s">
        <v>869</v>
      </c>
      <c r="C662" s="3">
        <v>46059</v>
      </c>
      <c r="D662" t="s">
        <v>1024</v>
      </c>
      <c r="E662">
        <v>9.99</v>
      </c>
      <c r="F662" t="s">
        <v>1268</v>
      </c>
      <c r="G662">
        <v>81</v>
      </c>
      <c r="H662" t="s">
        <v>2584</v>
      </c>
      <c r="I662" t="s">
        <v>2584</v>
      </c>
      <c r="J662">
        <v>1234</v>
      </c>
      <c r="K662">
        <v>5</v>
      </c>
      <c r="L662" t="s">
        <v>2514</v>
      </c>
      <c r="M662">
        <v>1882</v>
      </c>
      <c r="N662">
        <v>1680</v>
      </c>
      <c r="O662">
        <v>3562</v>
      </c>
      <c r="P662" t="s">
        <v>2883</v>
      </c>
    </row>
    <row r="663" spans="1:16" x14ac:dyDescent="0.25">
      <c r="A663" t="s">
        <v>1866</v>
      </c>
      <c r="B663" t="s">
        <v>681</v>
      </c>
      <c r="C663" s="3">
        <v>40959</v>
      </c>
      <c r="D663" t="s">
        <v>1019</v>
      </c>
      <c r="F663" t="s">
        <v>1020</v>
      </c>
      <c r="G663">
        <v>167</v>
      </c>
      <c r="H663" t="s">
        <v>1867</v>
      </c>
      <c r="I663" t="s">
        <v>1868</v>
      </c>
      <c r="J663">
        <v>1232</v>
      </c>
      <c r="K663">
        <v>8</v>
      </c>
      <c r="L663" t="s">
        <v>1022</v>
      </c>
      <c r="M663">
        <v>26433</v>
      </c>
      <c r="N663">
        <v>6284</v>
      </c>
      <c r="O663">
        <v>32717</v>
      </c>
      <c r="P663" t="s">
        <v>2882</v>
      </c>
    </row>
    <row r="664" spans="1:16" x14ac:dyDescent="0.25">
      <c r="A664" t="s">
        <v>2821</v>
      </c>
      <c r="B664" t="s">
        <v>380</v>
      </c>
      <c r="C664" s="3">
        <v>43023</v>
      </c>
      <c r="D664" t="s">
        <v>1019</v>
      </c>
      <c r="F664" t="s">
        <v>1020</v>
      </c>
      <c r="H664" t="s">
        <v>2822</v>
      </c>
      <c r="I664" t="s">
        <v>2822</v>
      </c>
      <c r="J664">
        <v>1228</v>
      </c>
      <c r="K664">
        <v>5</v>
      </c>
      <c r="L664" t="s">
        <v>2514</v>
      </c>
      <c r="M664">
        <v>442</v>
      </c>
      <c r="N664">
        <v>228</v>
      </c>
      <c r="O664">
        <v>670</v>
      </c>
      <c r="P664" t="s">
        <v>2882</v>
      </c>
    </row>
    <row r="665" spans="1:16" x14ac:dyDescent="0.25">
      <c r="A665" t="s">
        <v>1490</v>
      </c>
      <c r="B665" t="s">
        <v>976</v>
      </c>
      <c r="C665" s="3">
        <v>44460</v>
      </c>
      <c r="D665" t="s">
        <v>1024</v>
      </c>
      <c r="E665">
        <v>29.99</v>
      </c>
      <c r="F665" t="s">
        <v>1189</v>
      </c>
      <c r="G665">
        <v>35</v>
      </c>
      <c r="H665" t="s">
        <v>1491</v>
      </c>
      <c r="I665" t="s">
        <v>1491</v>
      </c>
      <c r="J665">
        <v>1227</v>
      </c>
      <c r="K665">
        <v>8</v>
      </c>
      <c r="L665" t="s">
        <v>1022</v>
      </c>
      <c r="M665">
        <v>8016</v>
      </c>
      <c r="N665">
        <v>1451</v>
      </c>
      <c r="O665">
        <v>9467</v>
      </c>
      <c r="P665" t="s">
        <v>2883</v>
      </c>
    </row>
    <row r="666" spans="1:16" x14ac:dyDescent="0.25">
      <c r="A666" t="s">
        <v>2445</v>
      </c>
      <c r="B666" t="s">
        <v>952</v>
      </c>
      <c r="C666" s="3">
        <v>43293</v>
      </c>
      <c r="D666" t="s">
        <v>1024</v>
      </c>
      <c r="E666">
        <v>39.99</v>
      </c>
      <c r="F666" t="s">
        <v>1047</v>
      </c>
      <c r="G666">
        <v>166</v>
      </c>
      <c r="H666" t="s">
        <v>2446</v>
      </c>
      <c r="I666" t="s">
        <v>2447</v>
      </c>
      <c r="J666">
        <v>1226</v>
      </c>
      <c r="K666">
        <v>6</v>
      </c>
      <c r="L666" t="s">
        <v>2338</v>
      </c>
      <c r="M666">
        <v>7828</v>
      </c>
      <c r="N666">
        <v>1961</v>
      </c>
      <c r="O666">
        <v>9789</v>
      </c>
      <c r="P666" t="s">
        <v>2883</v>
      </c>
    </row>
    <row r="667" spans="1:16" x14ac:dyDescent="0.25">
      <c r="A667" t="s">
        <v>1991</v>
      </c>
      <c r="B667" t="s">
        <v>153</v>
      </c>
      <c r="C667" s="3">
        <v>38971</v>
      </c>
      <c r="D667" t="s">
        <v>1024</v>
      </c>
      <c r="E667">
        <v>19.989999999999998</v>
      </c>
      <c r="F667" t="s">
        <v>1047</v>
      </c>
      <c r="G667">
        <v>0</v>
      </c>
      <c r="H667" t="s">
        <v>1956</v>
      </c>
      <c r="I667" t="s">
        <v>1956</v>
      </c>
      <c r="J667">
        <v>1218</v>
      </c>
      <c r="K667">
        <v>8</v>
      </c>
      <c r="L667" t="s">
        <v>1022</v>
      </c>
      <c r="M667">
        <v>7496</v>
      </c>
      <c r="N667">
        <v>423</v>
      </c>
      <c r="O667">
        <v>7919</v>
      </c>
      <c r="P667" t="s">
        <v>2883</v>
      </c>
    </row>
    <row r="668" spans="1:16" x14ac:dyDescent="0.25">
      <c r="A668" t="s">
        <v>1495</v>
      </c>
      <c r="B668" t="s">
        <v>966</v>
      </c>
      <c r="C668" s="3">
        <v>45558</v>
      </c>
      <c r="D668" t="s">
        <v>1024</v>
      </c>
      <c r="E668">
        <v>39.99</v>
      </c>
      <c r="F668" t="s">
        <v>1026</v>
      </c>
      <c r="G668">
        <v>36</v>
      </c>
      <c r="H668" t="s">
        <v>1496</v>
      </c>
      <c r="I668" t="s">
        <v>1496</v>
      </c>
      <c r="J668">
        <v>1216</v>
      </c>
      <c r="K668">
        <v>8</v>
      </c>
      <c r="L668" t="s">
        <v>1022</v>
      </c>
      <c r="M668">
        <v>10509</v>
      </c>
      <c r="N668">
        <v>963</v>
      </c>
      <c r="O668">
        <v>11472</v>
      </c>
      <c r="P668" t="s">
        <v>2883</v>
      </c>
    </row>
    <row r="669" spans="1:16" x14ac:dyDescent="0.25">
      <c r="A669" t="s">
        <v>1869</v>
      </c>
      <c r="B669" t="s">
        <v>322</v>
      </c>
      <c r="C669" s="3">
        <v>44470</v>
      </c>
      <c r="D669" t="s">
        <v>1024</v>
      </c>
      <c r="F669" t="s">
        <v>1086</v>
      </c>
      <c r="G669">
        <v>37</v>
      </c>
      <c r="H669" t="s">
        <v>1870</v>
      </c>
      <c r="I669" t="s">
        <v>1035</v>
      </c>
      <c r="J669">
        <v>1212</v>
      </c>
      <c r="K669">
        <v>8</v>
      </c>
      <c r="L669" t="s">
        <v>1022</v>
      </c>
      <c r="M669">
        <v>31440</v>
      </c>
      <c r="N669">
        <v>7764</v>
      </c>
      <c r="O669">
        <v>39204</v>
      </c>
      <c r="P669" t="s">
        <v>2883</v>
      </c>
    </row>
    <row r="670" spans="1:16" x14ac:dyDescent="0.25">
      <c r="A670" t="s">
        <v>1499</v>
      </c>
      <c r="B670" t="s">
        <v>72</v>
      </c>
      <c r="C670" s="3">
        <v>43993</v>
      </c>
      <c r="D670" t="s">
        <v>1024</v>
      </c>
      <c r="E670">
        <v>39.99</v>
      </c>
      <c r="F670" t="s">
        <v>1189</v>
      </c>
      <c r="G670">
        <v>67</v>
      </c>
      <c r="H670" t="s">
        <v>1277</v>
      </c>
      <c r="I670" t="s">
        <v>1035</v>
      </c>
      <c r="J670">
        <v>1209</v>
      </c>
      <c r="K670">
        <v>8</v>
      </c>
      <c r="L670" t="s">
        <v>1022</v>
      </c>
      <c r="M670">
        <v>28781</v>
      </c>
      <c r="N670">
        <v>5474</v>
      </c>
      <c r="O670">
        <v>34255</v>
      </c>
      <c r="P670" t="s">
        <v>2883</v>
      </c>
    </row>
    <row r="671" spans="1:16" x14ac:dyDescent="0.25">
      <c r="A671" t="s">
        <v>1504</v>
      </c>
      <c r="B671" t="s">
        <v>554</v>
      </c>
      <c r="C671" s="3">
        <v>44547</v>
      </c>
      <c r="D671" t="s">
        <v>1024</v>
      </c>
      <c r="E671">
        <v>19.989999999999998</v>
      </c>
      <c r="F671" t="s">
        <v>1026</v>
      </c>
      <c r="G671">
        <v>25</v>
      </c>
      <c r="H671" t="s">
        <v>1505</v>
      </c>
      <c r="I671" t="s">
        <v>1505</v>
      </c>
      <c r="J671">
        <v>1205</v>
      </c>
      <c r="K671">
        <v>8</v>
      </c>
      <c r="L671" t="s">
        <v>1022</v>
      </c>
      <c r="M671">
        <v>5435</v>
      </c>
      <c r="N671">
        <v>382</v>
      </c>
      <c r="O671">
        <v>5817</v>
      </c>
      <c r="P671" t="s">
        <v>2883</v>
      </c>
    </row>
    <row r="672" spans="1:16" x14ac:dyDescent="0.25">
      <c r="A672" t="s">
        <v>1158</v>
      </c>
      <c r="B672" t="s">
        <v>890</v>
      </c>
      <c r="C672" s="3">
        <v>45870</v>
      </c>
      <c r="D672" t="s">
        <v>1024</v>
      </c>
      <c r="E672">
        <v>34.99</v>
      </c>
      <c r="F672" t="s">
        <v>1026</v>
      </c>
      <c r="H672" t="s">
        <v>1159</v>
      </c>
      <c r="I672" t="s">
        <v>1127</v>
      </c>
      <c r="J672">
        <v>1203</v>
      </c>
      <c r="K672">
        <v>8</v>
      </c>
      <c r="L672" t="s">
        <v>1022</v>
      </c>
      <c r="M672">
        <v>6198</v>
      </c>
      <c r="N672">
        <v>1303</v>
      </c>
      <c r="O672">
        <v>7501</v>
      </c>
      <c r="P672" t="s">
        <v>2883</v>
      </c>
    </row>
    <row r="673" spans="1:16" x14ac:dyDescent="0.25">
      <c r="A673" t="s">
        <v>1160</v>
      </c>
      <c r="B673" t="s">
        <v>600</v>
      </c>
      <c r="C673" s="3">
        <v>41619</v>
      </c>
      <c r="D673" t="s">
        <v>1024</v>
      </c>
      <c r="E673">
        <v>29.99</v>
      </c>
      <c r="F673" t="s">
        <v>1110</v>
      </c>
      <c r="H673" t="s">
        <v>1161</v>
      </c>
      <c r="I673" t="s">
        <v>1162</v>
      </c>
      <c r="J673">
        <v>1198</v>
      </c>
      <c r="K673">
        <v>8</v>
      </c>
      <c r="L673" t="s">
        <v>1022</v>
      </c>
      <c r="M673">
        <v>3129</v>
      </c>
      <c r="N673">
        <v>634</v>
      </c>
      <c r="O673">
        <v>3763</v>
      </c>
      <c r="P673" t="s">
        <v>2883</v>
      </c>
    </row>
    <row r="674" spans="1:16" x14ac:dyDescent="0.25">
      <c r="A674" t="s">
        <v>1502</v>
      </c>
      <c r="B674" t="s">
        <v>788</v>
      </c>
      <c r="C674" s="3">
        <v>43783</v>
      </c>
      <c r="D674" t="s">
        <v>1024</v>
      </c>
      <c r="E674">
        <v>39.99</v>
      </c>
      <c r="F674" t="s">
        <v>1113</v>
      </c>
      <c r="G674">
        <v>39</v>
      </c>
      <c r="H674" t="s">
        <v>1503</v>
      </c>
      <c r="I674" t="s">
        <v>1035</v>
      </c>
      <c r="J674">
        <v>1194</v>
      </c>
      <c r="K674">
        <v>8</v>
      </c>
      <c r="L674" t="s">
        <v>1022</v>
      </c>
      <c r="M674">
        <v>82161</v>
      </c>
      <c r="N674">
        <v>10146</v>
      </c>
      <c r="O674">
        <v>92307</v>
      </c>
      <c r="P674" t="s">
        <v>2883</v>
      </c>
    </row>
    <row r="675" spans="1:16" x14ac:dyDescent="0.25">
      <c r="A675" t="s">
        <v>2054</v>
      </c>
      <c r="B675" t="s">
        <v>479</v>
      </c>
      <c r="C675" s="3">
        <v>44470</v>
      </c>
      <c r="D675" t="s">
        <v>1024</v>
      </c>
      <c r="E675">
        <v>24.99</v>
      </c>
      <c r="F675" t="s">
        <v>1047</v>
      </c>
      <c r="G675">
        <v>78</v>
      </c>
      <c r="H675" t="s">
        <v>2055</v>
      </c>
      <c r="I675" t="s">
        <v>2055</v>
      </c>
      <c r="J675">
        <v>1193</v>
      </c>
      <c r="K675">
        <v>8</v>
      </c>
      <c r="L675" t="s">
        <v>1022</v>
      </c>
      <c r="M675">
        <v>6823</v>
      </c>
      <c r="N675">
        <v>1108</v>
      </c>
      <c r="O675">
        <v>7931</v>
      </c>
      <c r="P675" t="s">
        <v>2883</v>
      </c>
    </row>
    <row r="676" spans="1:16" x14ac:dyDescent="0.25">
      <c r="A676" t="s">
        <v>2454</v>
      </c>
      <c r="B676" t="s">
        <v>344</v>
      </c>
      <c r="C676" s="3">
        <v>45232</v>
      </c>
      <c r="D676" t="s">
        <v>1024</v>
      </c>
      <c r="E676">
        <v>24.99</v>
      </c>
      <c r="F676" t="s">
        <v>1047</v>
      </c>
      <c r="G676">
        <v>126</v>
      </c>
      <c r="H676" t="s">
        <v>2455</v>
      </c>
      <c r="I676" t="s">
        <v>2264</v>
      </c>
      <c r="J676">
        <v>1190</v>
      </c>
      <c r="K676">
        <v>6</v>
      </c>
      <c r="L676" t="s">
        <v>2338</v>
      </c>
      <c r="M676">
        <v>5286</v>
      </c>
      <c r="N676">
        <v>1407</v>
      </c>
      <c r="O676">
        <v>6693</v>
      </c>
      <c r="P676" t="s">
        <v>2883</v>
      </c>
    </row>
    <row r="677" spans="1:16" x14ac:dyDescent="0.25">
      <c r="A677" t="s">
        <v>1522</v>
      </c>
      <c r="B677" t="s">
        <v>455</v>
      </c>
      <c r="C677" s="3">
        <v>45919</v>
      </c>
      <c r="D677" t="s">
        <v>1024</v>
      </c>
      <c r="E677">
        <v>19.989999999999998</v>
      </c>
      <c r="F677" t="s">
        <v>1026</v>
      </c>
      <c r="G677">
        <v>15</v>
      </c>
      <c r="H677" t="s">
        <v>1523</v>
      </c>
      <c r="I677" t="s">
        <v>1523</v>
      </c>
      <c r="J677">
        <v>1188</v>
      </c>
      <c r="K677">
        <v>8</v>
      </c>
      <c r="L677" t="s">
        <v>1022</v>
      </c>
      <c r="M677">
        <v>7529</v>
      </c>
      <c r="N677">
        <v>1101</v>
      </c>
      <c r="O677">
        <v>8630</v>
      </c>
      <c r="P677" t="s">
        <v>2883</v>
      </c>
    </row>
    <row r="678" spans="1:16" x14ac:dyDescent="0.25">
      <c r="A678" t="s">
        <v>1992</v>
      </c>
      <c r="B678" t="s">
        <v>227</v>
      </c>
      <c r="C678" s="3">
        <v>42304</v>
      </c>
      <c r="D678" t="s">
        <v>1024</v>
      </c>
      <c r="E678">
        <v>39.99</v>
      </c>
      <c r="F678" t="s">
        <v>1047</v>
      </c>
      <c r="G678">
        <v>54</v>
      </c>
      <c r="H678" t="s">
        <v>1993</v>
      </c>
      <c r="I678" t="s">
        <v>1993</v>
      </c>
      <c r="J678">
        <v>1188</v>
      </c>
      <c r="K678">
        <v>8</v>
      </c>
      <c r="L678" t="s">
        <v>1022</v>
      </c>
      <c r="M678">
        <v>12570</v>
      </c>
      <c r="N678">
        <v>1814</v>
      </c>
      <c r="O678">
        <v>14384</v>
      </c>
      <c r="P678" t="s">
        <v>2883</v>
      </c>
    </row>
    <row r="679" spans="1:16" x14ac:dyDescent="0.25">
      <c r="A679" t="s">
        <v>2827</v>
      </c>
      <c r="B679" t="s">
        <v>676</v>
      </c>
      <c r="C679" s="3">
        <v>45300</v>
      </c>
      <c r="D679" t="s">
        <v>1019</v>
      </c>
      <c r="F679" t="s">
        <v>1020</v>
      </c>
      <c r="H679" t="s">
        <v>2828</v>
      </c>
      <c r="I679" t="s">
        <v>2828</v>
      </c>
      <c r="J679">
        <v>1188</v>
      </c>
      <c r="K679">
        <v>5</v>
      </c>
      <c r="L679" t="s">
        <v>2514</v>
      </c>
      <c r="M679">
        <v>825</v>
      </c>
      <c r="N679">
        <v>566</v>
      </c>
      <c r="O679">
        <v>1391</v>
      </c>
      <c r="P679" t="s">
        <v>2882</v>
      </c>
    </row>
    <row r="680" spans="1:16" x14ac:dyDescent="0.25">
      <c r="A680" t="s">
        <v>2669</v>
      </c>
      <c r="B680" t="s">
        <v>263</v>
      </c>
      <c r="C680" s="3">
        <v>44834</v>
      </c>
      <c r="D680" t="s">
        <v>1024</v>
      </c>
      <c r="F680" t="s">
        <v>1086</v>
      </c>
      <c r="G680">
        <v>39</v>
      </c>
      <c r="H680" t="s">
        <v>2513</v>
      </c>
      <c r="I680" t="s">
        <v>1035</v>
      </c>
      <c r="J680">
        <v>1186</v>
      </c>
      <c r="K680">
        <v>5</v>
      </c>
      <c r="L680" t="s">
        <v>2514</v>
      </c>
      <c r="M680">
        <v>25715</v>
      </c>
      <c r="N680">
        <v>17177</v>
      </c>
      <c r="O680">
        <v>42892</v>
      </c>
      <c r="P680" t="s">
        <v>2883</v>
      </c>
    </row>
    <row r="681" spans="1:16" x14ac:dyDescent="0.25">
      <c r="A681" t="s">
        <v>2825</v>
      </c>
      <c r="B681" t="s">
        <v>571</v>
      </c>
      <c r="C681" s="3">
        <v>46128</v>
      </c>
      <c r="D681" t="s">
        <v>1019</v>
      </c>
      <c r="F681" t="s">
        <v>1020</v>
      </c>
      <c r="H681" t="s">
        <v>2600</v>
      </c>
      <c r="I681" t="s">
        <v>2826</v>
      </c>
      <c r="J681">
        <v>1185</v>
      </c>
      <c r="K681">
        <v>5</v>
      </c>
      <c r="L681" t="s">
        <v>2514</v>
      </c>
      <c r="M681">
        <v>128</v>
      </c>
      <c r="N681">
        <v>98</v>
      </c>
      <c r="O681">
        <v>226</v>
      </c>
      <c r="P681" t="s">
        <v>2882</v>
      </c>
    </row>
    <row r="682" spans="1:16" x14ac:dyDescent="0.25">
      <c r="A682" t="s">
        <v>2261</v>
      </c>
      <c r="B682" t="s">
        <v>756</v>
      </c>
      <c r="C682" s="3">
        <v>42948</v>
      </c>
      <c r="D682" t="s">
        <v>1024</v>
      </c>
      <c r="E682">
        <v>19.989999999999998</v>
      </c>
      <c r="F682" t="s">
        <v>1110</v>
      </c>
      <c r="G682">
        <v>57</v>
      </c>
      <c r="H682" t="s">
        <v>1507</v>
      </c>
      <c r="I682" t="s">
        <v>1507</v>
      </c>
      <c r="J682">
        <v>1183</v>
      </c>
      <c r="K682">
        <v>9</v>
      </c>
      <c r="L682" t="s">
        <v>2077</v>
      </c>
      <c r="M682">
        <v>73561</v>
      </c>
      <c r="N682">
        <v>1443</v>
      </c>
      <c r="O682">
        <v>75004</v>
      </c>
      <c r="P682" t="s">
        <v>2883</v>
      </c>
    </row>
    <row r="683" spans="1:16" x14ac:dyDescent="0.25">
      <c r="A683" t="s">
        <v>1155</v>
      </c>
      <c r="B683" t="s">
        <v>712</v>
      </c>
      <c r="C683" s="3">
        <v>46167</v>
      </c>
      <c r="D683" t="s">
        <v>1024</v>
      </c>
      <c r="E683">
        <v>13.99</v>
      </c>
      <c r="F683" t="s">
        <v>1026</v>
      </c>
      <c r="H683" t="s">
        <v>1156</v>
      </c>
      <c r="I683" t="s">
        <v>1157</v>
      </c>
      <c r="J683">
        <v>1181</v>
      </c>
      <c r="K683">
        <v>8</v>
      </c>
      <c r="L683" t="s">
        <v>1022</v>
      </c>
      <c r="M683">
        <v>1070</v>
      </c>
      <c r="N683">
        <v>111</v>
      </c>
      <c r="O683">
        <v>1181</v>
      </c>
      <c r="P683" t="s">
        <v>2883</v>
      </c>
    </row>
    <row r="684" spans="1:16" x14ac:dyDescent="0.25">
      <c r="A684" t="s">
        <v>2278</v>
      </c>
      <c r="B684" t="s">
        <v>110</v>
      </c>
      <c r="C684" s="3">
        <v>45386</v>
      </c>
      <c r="D684" t="s">
        <v>1024</v>
      </c>
      <c r="E684">
        <v>2.99</v>
      </c>
      <c r="F684" t="s">
        <v>1110</v>
      </c>
      <c r="G684">
        <v>16</v>
      </c>
      <c r="H684" t="s">
        <v>2279</v>
      </c>
      <c r="I684" t="s">
        <v>2280</v>
      </c>
      <c r="J684">
        <v>1180</v>
      </c>
      <c r="K684">
        <v>9</v>
      </c>
      <c r="L684" t="s">
        <v>2077</v>
      </c>
      <c r="M684">
        <v>38387</v>
      </c>
      <c r="N684">
        <v>1625</v>
      </c>
      <c r="O684">
        <v>40012</v>
      </c>
      <c r="P684" t="s">
        <v>2883</v>
      </c>
    </row>
    <row r="685" spans="1:16" x14ac:dyDescent="0.25">
      <c r="A685" t="s">
        <v>2269</v>
      </c>
      <c r="B685" t="s">
        <v>130</v>
      </c>
      <c r="C685" s="3">
        <v>43056</v>
      </c>
      <c r="D685" t="s">
        <v>1024</v>
      </c>
      <c r="E685">
        <v>16.989999999999998</v>
      </c>
      <c r="F685" t="s">
        <v>1086</v>
      </c>
      <c r="G685">
        <v>36</v>
      </c>
      <c r="H685" t="s">
        <v>2270</v>
      </c>
      <c r="I685" t="s">
        <v>2270</v>
      </c>
      <c r="J685">
        <v>1179</v>
      </c>
      <c r="K685">
        <v>9</v>
      </c>
      <c r="L685" t="s">
        <v>2077</v>
      </c>
      <c r="M685">
        <v>40832</v>
      </c>
      <c r="N685">
        <v>2077</v>
      </c>
      <c r="O685">
        <v>42909</v>
      </c>
      <c r="P685" t="s">
        <v>2883</v>
      </c>
    </row>
    <row r="686" spans="1:16" x14ac:dyDescent="0.25">
      <c r="A686" t="s">
        <v>1511</v>
      </c>
      <c r="B686" t="s">
        <v>978</v>
      </c>
      <c r="C686" s="3">
        <v>43265</v>
      </c>
      <c r="D686" t="s">
        <v>1024</v>
      </c>
      <c r="E686">
        <v>29.99</v>
      </c>
      <c r="F686" t="s">
        <v>1086</v>
      </c>
      <c r="G686">
        <v>20</v>
      </c>
      <c r="H686" t="s">
        <v>1512</v>
      </c>
      <c r="I686" t="s">
        <v>1127</v>
      </c>
      <c r="J686">
        <v>1177</v>
      </c>
      <c r="K686">
        <v>8</v>
      </c>
      <c r="L686" t="s">
        <v>1022</v>
      </c>
      <c r="M686">
        <v>21107</v>
      </c>
      <c r="N686">
        <v>2962</v>
      </c>
      <c r="O686">
        <v>24069</v>
      </c>
      <c r="P686" t="s">
        <v>2883</v>
      </c>
    </row>
    <row r="687" spans="1:16" x14ac:dyDescent="0.25">
      <c r="A687" t="s">
        <v>1498</v>
      </c>
      <c r="B687" t="s">
        <v>35</v>
      </c>
      <c r="C687" s="3">
        <v>45162</v>
      </c>
      <c r="D687" t="s">
        <v>1024</v>
      </c>
      <c r="E687">
        <v>59.99</v>
      </c>
      <c r="F687" t="s">
        <v>1189</v>
      </c>
      <c r="G687">
        <v>30</v>
      </c>
      <c r="H687" t="s">
        <v>1304</v>
      </c>
      <c r="I687" t="s">
        <v>1304</v>
      </c>
      <c r="J687">
        <v>1176</v>
      </c>
      <c r="K687">
        <v>8</v>
      </c>
      <c r="L687" t="s">
        <v>1022</v>
      </c>
      <c r="M687">
        <v>48162</v>
      </c>
      <c r="N687">
        <v>3270</v>
      </c>
      <c r="O687">
        <v>51432</v>
      </c>
      <c r="P687" t="s">
        <v>2883</v>
      </c>
    </row>
    <row r="688" spans="1:16" x14ac:dyDescent="0.25">
      <c r="A688" t="s">
        <v>2268</v>
      </c>
      <c r="B688" t="s">
        <v>231</v>
      </c>
      <c r="C688" s="3">
        <v>42502</v>
      </c>
      <c r="D688" t="s">
        <v>1024</v>
      </c>
      <c r="E688">
        <v>19.989999999999998</v>
      </c>
      <c r="F688" t="s">
        <v>1189</v>
      </c>
      <c r="G688">
        <v>54</v>
      </c>
      <c r="H688" t="s">
        <v>1315</v>
      </c>
      <c r="I688" t="s">
        <v>1051</v>
      </c>
      <c r="J688">
        <v>1176</v>
      </c>
      <c r="K688">
        <v>9</v>
      </c>
      <c r="L688" t="s">
        <v>2077</v>
      </c>
      <c r="M688">
        <v>113427</v>
      </c>
      <c r="N688">
        <v>5313</v>
      </c>
      <c r="O688">
        <v>118740</v>
      </c>
      <c r="P688" t="s">
        <v>2883</v>
      </c>
    </row>
    <row r="689" spans="1:16" x14ac:dyDescent="0.25">
      <c r="A689" t="s">
        <v>2262</v>
      </c>
      <c r="B689" t="s">
        <v>433</v>
      </c>
      <c r="C689" s="3">
        <v>42573</v>
      </c>
      <c r="D689" t="s">
        <v>1024</v>
      </c>
      <c r="E689">
        <v>19.989999999999998</v>
      </c>
      <c r="F689" t="s">
        <v>1110</v>
      </c>
      <c r="G689">
        <v>151</v>
      </c>
      <c r="H689" t="s">
        <v>2263</v>
      </c>
      <c r="I689" t="s">
        <v>2264</v>
      </c>
      <c r="J689">
        <v>1174</v>
      </c>
      <c r="K689">
        <v>9</v>
      </c>
      <c r="L689" t="s">
        <v>2077</v>
      </c>
      <c r="M689">
        <v>42290</v>
      </c>
      <c r="N689">
        <v>2181</v>
      </c>
      <c r="O689">
        <v>44471</v>
      </c>
      <c r="P689" t="s">
        <v>2883</v>
      </c>
    </row>
    <row r="690" spans="1:16" x14ac:dyDescent="0.25">
      <c r="A690" t="s">
        <v>1986</v>
      </c>
      <c r="B690" t="s">
        <v>478</v>
      </c>
      <c r="C690" s="3">
        <v>45457</v>
      </c>
      <c r="D690" t="s">
        <v>1024</v>
      </c>
      <c r="E690">
        <v>19.989999999999998</v>
      </c>
      <c r="F690" t="s">
        <v>1047</v>
      </c>
      <c r="G690">
        <v>20</v>
      </c>
      <c r="H690" t="s">
        <v>1987</v>
      </c>
      <c r="I690" t="s">
        <v>1988</v>
      </c>
      <c r="J690">
        <v>1173</v>
      </c>
      <c r="K690">
        <v>8</v>
      </c>
      <c r="L690" t="s">
        <v>1022</v>
      </c>
      <c r="M690">
        <v>446</v>
      </c>
      <c r="N690">
        <v>42</v>
      </c>
      <c r="O690">
        <v>488</v>
      </c>
      <c r="P690" t="s">
        <v>2883</v>
      </c>
    </row>
    <row r="691" spans="1:16" x14ac:dyDescent="0.25">
      <c r="A691" t="s">
        <v>1506</v>
      </c>
      <c r="B691" t="s">
        <v>757</v>
      </c>
      <c r="C691" s="3">
        <v>45923</v>
      </c>
      <c r="D691" t="s">
        <v>1024</v>
      </c>
      <c r="E691">
        <v>29.99</v>
      </c>
      <c r="F691" t="s">
        <v>1110</v>
      </c>
      <c r="G691">
        <v>27</v>
      </c>
      <c r="H691" t="s">
        <v>1507</v>
      </c>
      <c r="I691" t="s">
        <v>1507</v>
      </c>
      <c r="J691">
        <v>1172</v>
      </c>
      <c r="K691">
        <v>8</v>
      </c>
      <c r="L691" t="s">
        <v>1022</v>
      </c>
      <c r="M691">
        <v>25567</v>
      </c>
      <c r="N691">
        <v>1573</v>
      </c>
      <c r="O691">
        <v>27140</v>
      </c>
      <c r="P691" t="s">
        <v>2883</v>
      </c>
    </row>
    <row r="692" spans="1:16" x14ac:dyDescent="0.25">
      <c r="A692" t="s">
        <v>1873</v>
      </c>
      <c r="B692" t="s">
        <v>619</v>
      </c>
      <c r="C692" s="3">
        <v>43228</v>
      </c>
      <c r="D692" t="s">
        <v>1019</v>
      </c>
      <c r="F692" t="s">
        <v>1020</v>
      </c>
      <c r="G692">
        <v>58</v>
      </c>
      <c r="H692" t="s">
        <v>1874</v>
      </c>
      <c r="I692" t="s">
        <v>1875</v>
      </c>
      <c r="J692">
        <v>1167</v>
      </c>
      <c r="K692">
        <v>8</v>
      </c>
      <c r="L692" t="s">
        <v>1022</v>
      </c>
      <c r="M692">
        <v>104699</v>
      </c>
      <c r="N692">
        <v>22815</v>
      </c>
      <c r="O692">
        <v>127514</v>
      </c>
      <c r="P692" t="s">
        <v>2882</v>
      </c>
    </row>
    <row r="693" spans="1:16" x14ac:dyDescent="0.25">
      <c r="A693" t="s">
        <v>2265</v>
      </c>
      <c r="B693" t="s">
        <v>853</v>
      </c>
      <c r="C693" s="3">
        <v>46217</v>
      </c>
      <c r="D693" t="s">
        <v>1024</v>
      </c>
      <c r="E693">
        <v>19.989999999999998</v>
      </c>
      <c r="F693" t="s">
        <v>1113</v>
      </c>
      <c r="G693">
        <v>15</v>
      </c>
      <c r="H693" t="s">
        <v>2266</v>
      </c>
      <c r="I693" t="s">
        <v>2267</v>
      </c>
      <c r="J693">
        <v>1167</v>
      </c>
      <c r="K693">
        <v>9</v>
      </c>
      <c r="L693" t="s">
        <v>2077</v>
      </c>
      <c r="M693">
        <v>886</v>
      </c>
      <c r="N693">
        <v>17</v>
      </c>
      <c r="O693">
        <v>903</v>
      </c>
      <c r="P693" t="s">
        <v>2883</v>
      </c>
    </row>
    <row r="694" spans="1:16" x14ac:dyDescent="0.25">
      <c r="A694" t="s">
        <v>1994</v>
      </c>
      <c r="B694" t="s">
        <v>57</v>
      </c>
      <c r="C694" s="3">
        <v>45821</v>
      </c>
      <c r="D694" t="s">
        <v>1024</v>
      </c>
      <c r="E694">
        <v>14.99</v>
      </c>
      <c r="F694" t="s">
        <v>1047</v>
      </c>
      <c r="G694">
        <v>230</v>
      </c>
      <c r="H694" t="s">
        <v>1995</v>
      </c>
      <c r="I694" t="s">
        <v>1565</v>
      </c>
      <c r="J694">
        <v>1165</v>
      </c>
      <c r="K694">
        <v>8</v>
      </c>
      <c r="L694" t="s">
        <v>1022</v>
      </c>
      <c r="M694">
        <v>5399</v>
      </c>
      <c r="N694">
        <v>418</v>
      </c>
      <c r="O694">
        <v>5817</v>
      </c>
      <c r="P694" t="s">
        <v>2883</v>
      </c>
    </row>
    <row r="695" spans="1:16" x14ac:dyDescent="0.25">
      <c r="A695" t="s">
        <v>2274</v>
      </c>
      <c r="B695" t="s">
        <v>222</v>
      </c>
      <c r="C695" s="3">
        <v>41190</v>
      </c>
      <c r="D695" t="s">
        <v>1024</v>
      </c>
      <c r="E695">
        <v>9.99</v>
      </c>
      <c r="F695" t="s">
        <v>1113</v>
      </c>
      <c r="G695">
        <v>80</v>
      </c>
      <c r="H695" t="s">
        <v>1557</v>
      </c>
      <c r="I695" t="s">
        <v>1051</v>
      </c>
      <c r="J695">
        <v>1163</v>
      </c>
      <c r="K695">
        <v>9</v>
      </c>
      <c r="L695" t="s">
        <v>2077</v>
      </c>
      <c r="M695">
        <v>49209</v>
      </c>
      <c r="N695">
        <v>1268</v>
      </c>
      <c r="O695">
        <v>50477</v>
      </c>
      <c r="P695" t="s">
        <v>2883</v>
      </c>
    </row>
    <row r="696" spans="1:16" x14ac:dyDescent="0.25">
      <c r="A696" t="s">
        <v>1508</v>
      </c>
      <c r="B696" t="s">
        <v>500</v>
      </c>
      <c r="C696" s="3">
        <v>42248</v>
      </c>
      <c r="D696" t="s">
        <v>1024</v>
      </c>
      <c r="E696">
        <v>19.989999999999998</v>
      </c>
      <c r="F696" t="s">
        <v>1113</v>
      </c>
      <c r="G696">
        <v>49</v>
      </c>
      <c r="H696" t="s">
        <v>1300</v>
      </c>
      <c r="I696" t="s">
        <v>1423</v>
      </c>
      <c r="J696">
        <v>1158</v>
      </c>
      <c r="K696">
        <v>8</v>
      </c>
      <c r="L696" t="s">
        <v>1022</v>
      </c>
      <c r="M696">
        <v>37652</v>
      </c>
      <c r="N696">
        <v>3379</v>
      </c>
      <c r="O696">
        <v>41031</v>
      </c>
      <c r="P696" t="s">
        <v>2883</v>
      </c>
    </row>
    <row r="697" spans="1:16" x14ac:dyDescent="0.25">
      <c r="A697" t="s">
        <v>2484</v>
      </c>
      <c r="B697" t="s">
        <v>164</v>
      </c>
      <c r="C697" s="3">
        <v>42633</v>
      </c>
      <c r="D697" t="s">
        <v>1024</v>
      </c>
      <c r="E697">
        <v>19.989999999999998</v>
      </c>
      <c r="F697" t="s">
        <v>1047</v>
      </c>
      <c r="G697">
        <v>103</v>
      </c>
      <c r="H697" t="s">
        <v>2366</v>
      </c>
      <c r="I697" t="s">
        <v>2366</v>
      </c>
      <c r="J697">
        <v>1155</v>
      </c>
      <c r="K697">
        <v>6</v>
      </c>
      <c r="L697" t="s">
        <v>2338</v>
      </c>
      <c r="M697">
        <v>3310</v>
      </c>
      <c r="N697">
        <v>934</v>
      </c>
      <c r="O697">
        <v>4244</v>
      </c>
      <c r="P697" t="s">
        <v>2883</v>
      </c>
    </row>
    <row r="698" spans="1:16" x14ac:dyDescent="0.25">
      <c r="A698" t="s">
        <v>2829</v>
      </c>
      <c r="B698" t="s">
        <v>946</v>
      </c>
      <c r="C698" s="3">
        <v>45918</v>
      </c>
      <c r="D698" t="s">
        <v>1019</v>
      </c>
      <c r="F698" t="s">
        <v>1020</v>
      </c>
      <c r="H698" t="s">
        <v>2414</v>
      </c>
      <c r="I698" t="s">
        <v>2414</v>
      </c>
      <c r="J698">
        <v>1154</v>
      </c>
      <c r="K698">
        <v>5</v>
      </c>
      <c r="L698" t="s">
        <v>2514</v>
      </c>
      <c r="M698">
        <v>390</v>
      </c>
      <c r="N698">
        <v>574</v>
      </c>
      <c r="O698">
        <v>964</v>
      </c>
      <c r="P698" t="s">
        <v>2882</v>
      </c>
    </row>
    <row r="699" spans="1:16" x14ac:dyDescent="0.25">
      <c r="A699" t="s">
        <v>1500</v>
      </c>
      <c r="B699" t="s">
        <v>303</v>
      </c>
      <c r="C699" s="3">
        <v>41247</v>
      </c>
      <c r="D699" t="s">
        <v>1024</v>
      </c>
      <c r="E699">
        <v>19.989999999999998</v>
      </c>
      <c r="F699" t="s">
        <v>1113</v>
      </c>
      <c r="G699">
        <v>44</v>
      </c>
      <c r="H699" t="s">
        <v>1501</v>
      </c>
      <c r="I699" t="s">
        <v>1212</v>
      </c>
      <c r="J699">
        <v>1149</v>
      </c>
      <c r="K699">
        <v>8</v>
      </c>
      <c r="L699" t="s">
        <v>1022</v>
      </c>
      <c r="M699">
        <v>39657</v>
      </c>
      <c r="N699">
        <v>7430</v>
      </c>
      <c r="O699">
        <v>47087</v>
      </c>
      <c r="P699" t="s">
        <v>2883</v>
      </c>
    </row>
    <row r="700" spans="1:16" x14ac:dyDescent="0.25">
      <c r="A700" t="s">
        <v>2485</v>
      </c>
      <c r="B700" t="s">
        <v>247</v>
      </c>
      <c r="C700" s="3">
        <v>45740</v>
      </c>
      <c r="D700" t="s">
        <v>1024</v>
      </c>
      <c r="E700">
        <v>24.99</v>
      </c>
      <c r="F700" t="s">
        <v>1026</v>
      </c>
      <c r="G700">
        <v>59</v>
      </c>
      <c r="H700" t="s">
        <v>247</v>
      </c>
      <c r="I700" t="s">
        <v>2486</v>
      </c>
      <c r="J700">
        <v>1148</v>
      </c>
      <c r="K700">
        <v>6</v>
      </c>
      <c r="L700" t="s">
        <v>2338</v>
      </c>
      <c r="M700">
        <v>6011</v>
      </c>
      <c r="N700">
        <v>1817</v>
      </c>
      <c r="O700">
        <v>7828</v>
      </c>
      <c r="P700" t="s">
        <v>2883</v>
      </c>
    </row>
    <row r="701" spans="1:16" x14ac:dyDescent="0.25">
      <c r="A701" t="s">
        <v>1509</v>
      </c>
      <c r="B701" t="s">
        <v>3</v>
      </c>
      <c r="C701" s="3">
        <v>43599</v>
      </c>
      <c r="D701" t="s">
        <v>1024</v>
      </c>
      <c r="E701">
        <v>39.99</v>
      </c>
      <c r="F701" t="s">
        <v>1113</v>
      </c>
      <c r="G701">
        <v>35</v>
      </c>
      <c r="H701" t="s">
        <v>1510</v>
      </c>
      <c r="I701" t="s">
        <v>1282</v>
      </c>
      <c r="J701">
        <v>1145</v>
      </c>
      <c r="K701">
        <v>8</v>
      </c>
      <c r="L701" t="s">
        <v>1022</v>
      </c>
      <c r="M701">
        <v>23168</v>
      </c>
      <c r="N701">
        <v>1749</v>
      </c>
      <c r="O701">
        <v>24917</v>
      </c>
      <c r="P701" t="s">
        <v>2883</v>
      </c>
    </row>
    <row r="702" spans="1:16" x14ac:dyDescent="0.25">
      <c r="A702" t="s">
        <v>1996</v>
      </c>
      <c r="B702" t="s">
        <v>922</v>
      </c>
      <c r="C702" s="3">
        <v>45506</v>
      </c>
      <c r="D702" t="s">
        <v>1024</v>
      </c>
      <c r="E702">
        <v>29.99</v>
      </c>
      <c r="F702" t="s">
        <v>1047</v>
      </c>
      <c r="G702">
        <v>51</v>
      </c>
      <c r="H702" t="s">
        <v>1997</v>
      </c>
      <c r="I702" t="s">
        <v>1264</v>
      </c>
      <c r="J702">
        <v>1139</v>
      </c>
      <c r="K702">
        <v>8</v>
      </c>
      <c r="L702" t="s">
        <v>1022</v>
      </c>
      <c r="M702">
        <v>10352</v>
      </c>
      <c r="N702">
        <v>1825</v>
      </c>
      <c r="O702">
        <v>12177</v>
      </c>
      <c r="P702" t="s">
        <v>2883</v>
      </c>
    </row>
    <row r="703" spans="1:16" x14ac:dyDescent="0.25">
      <c r="A703" t="s">
        <v>2271</v>
      </c>
      <c r="B703" t="s">
        <v>653</v>
      </c>
      <c r="C703" s="3">
        <v>44777</v>
      </c>
      <c r="D703" t="s">
        <v>1024</v>
      </c>
      <c r="E703">
        <v>19.989999999999998</v>
      </c>
      <c r="F703" t="s">
        <v>1047</v>
      </c>
      <c r="G703">
        <v>26</v>
      </c>
      <c r="H703" t="s">
        <v>2272</v>
      </c>
      <c r="I703" t="s">
        <v>2273</v>
      </c>
      <c r="J703">
        <v>1137</v>
      </c>
      <c r="K703">
        <v>9</v>
      </c>
      <c r="L703" t="s">
        <v>2077</v>
      </c>
      <c r="M703">
        <v>17336</v>
      </c>
      <c r="N703">
        <v>644</v>
      </c>
      <c r="O703">
        <v>17980</v>
      </c>
      <c r="P703" t="s">
        <v>2883</v>
      </c>
    </row>
    <row r="704" spans="1:16" x14ac:dyDescent="0.25">
      <c r="A704" t="s">
        <v>1163</v>
      </c>
      <c r="B704" t="s">
        <v>774</v>
      </c>
      <c r="C704" s="3">
        <v>41100</v>
      </c>
      <c r="D704" t="s">
        <v>1019</v>
      </c>
      <c r="F704" t="s">
        <v>1055</v>
      </c>
      <c r="H704" t="s">
        <v>1021</v>
      </c>
      <c r="I704" t="s">
        <v>1021</v>
      </c>
      <c r="J704">
        <v>1133</v>
      </c>
      <c r="K704">
        <v>8</v>
      </c>
      <c r="L704" t="s">
        <v>1022</v>
      </c>
      <c r="M704">
        <v>27379</v>
      </c>
      <c r="N704">
        <v>2111</v>
      </c>
      <c r="O704">
        <v>29490</v>
      </c>
      <c r="P704" t="s">
        <v>2882</v>
      </c>
    </row>
    <row r="705" spans="1:16" x14ac:dyDescent="0.25">
      <c r="A705" t="s">
        <v>2283</v>
      </c>
      <c r="B705" t="s">
        <v>279</v>
      </c>
      <c r="C705" s="3">
        <v>42465</v>
      </c>
      <c r="D705" t="s">
        <v>1024</v>
      </c>
      <c r="E705">
        <v>14.99</v>
      </c>
      <c r="F705" t="s">
        <v>1208</v>
      </c>
      <c r="G705">
        <v>54</v>
      </c>
      <c r="H705" t="s">
        <v>2284</v>
      </c>
      <c r="I705" t="s">
        <v>1598</v>
      </c>
      <c r="J705">
        <v>1133</v>
      </c>
      <c r="K705">
        <v>9</v>
      </c>
      <c r="L705" t="s">
        <v>2077</v>
      </c>
      <c r="M705">
        <v>42132</v>
      </c>
      <c r="N705">
        <v>2142</v>
      </c>
      <c r="O705">
        <v>44274</v>
      </c>
      <c r="P705" t="s">
        <v>2883</v>
      </c>
    </row>
    <row r="706" spans="1:16" x14ac:dyDescent="0.25">
      <c r="A706" t="s">
        <v>2451</v>
      </c>
      <c r="B706" t="s">
        <v>915</v>
      </c>
      <c r="C706" s="3">
        <v>45930</v>
      </c>
      <c r="D706" t="s">
        <v>1024</v>
      </c>
      <c r="E706">
        <v>49.99</v>
      </c>
      <c r="F706" t="s">
        <v>1110</v>
      </c>
      <c r="G706">
        <v>19</v>
      </c>
      <c r="H706" t="s">
        <v>2452</v>
      </c>
      <c r="I706" t="s">
        <v>2453</v>
      </c>
      <c r="J706">
        <v>1132</v>
      </c>
      <c r="K706">
        <v>6</v>
      </c>
      <c r="L706" t="s">
        <v>2338</v>
      </c>
      <c r="M706">
        <v>1049</v>
      </c>
      <c r="N706">
        <v>401</v>
      </c>
      <c r="O706">
        <v>1450</v>
      </c>
      <c r="P706" t="s">
        <v>2883</v>
      </c>
    </row>
    <row r="707" spans="1:16" x14ac:dyDescent="0.25">
      <c r="A707" t="s">
        <v>2000</v>
      </c>
      <c r="B707" t="s">
        <v>350</v>
      </c>
      <c r="C707" s="3">
        <v>45688</v>
      </c>
      <c r="D707" t="s">
        <v>1024</v>
      </c>
      <c r="E707">
        <v>34.99</v>
      </c>
      <c r="F707" t="s">
        <v>1047</v>
      </c>
      <c r="G707">
        <v>45</v>
      </c>
      <c r="H707" t="s">
        <v>2001</v>
      </c>
      <c r="I707" t="s">
        <v>2001</v>
      </c>
      <c r="J707">
        <v>1127</v>
      </c>
      <c r="K707">
        <v>8</v>
      </c>
      <c r="L707" t="s">
        <v>1022</v>
      </c>
      <c r="M707">
        <v>10035</v>
      </c>
      <c r="N707">
        <v>1599</v>
      </c>
      <c r="O707">
        <v>11634</v>
      </c>
      <c r="P707" t="s">
        <v>2883</v>
      </c>
    </row>
    <row r="708" spans="1:16" x14ac:dyDescent="0.25">
      <c r="A708" t="s">
        <v>2276</v>
      </c>
      <c r="B708" t="s">
        <v>582</v>
      </c>
      <c r="C708" s="3">
        <v>45440</v>
      </c>
      <c r="D708" t="s">
        <v>1024</v>
      </c>
      <c r="E708">
        <v>29.99</v>
      </c>
      <c r="F708" t="s">
        <v>1208</v>
      </c>
      <c r="G708">
        <v>35</v>
      </c>
      <c r="H708" t="s">
        <v>2277</v>
      </c>
      <c r="I708" t="s">
        <v>2277</v>
      </c>
      <c r="J708">
        <v>1127</v>
      </c>
      <c r="K708">
        <v>9</v>
      </c>
      <c r="L708" t="s">
        <v>2077</v>
      </c>
      <c r="M708">
        <v>20676</v>
      </c>
      <c r="N708">
        <v>969</v>
      </c>
      <c r="O708">
        <v>21645</v>
      </c>
      <c r="P708" t="s">
        <v>2883</v>
      </c>
    </row>
    <row r="709" spans="1:16" x14ac:dyDescent="0.25">
      <c r="A709" t="s">
        <v>2281</v>
      </c>
      <c r="B709" t="s">
        <v>878</v>
      </c>
      <c r="C709" s="3">
        <v>44133</v>
      </c>
      <c r="D709" t="s">
        <v>1024</v>
      </c>
      <c r="E709">
        <v>49.99</v>
      </c>
      <c r="F709" t="s">
        <v>1113</v>
      </c>
      <c r="G709">
        <v>23</v>
      </c>
      <c r="H709" t="s">
        <v>2282</v>
      </c>
      <c r="I709" t="s">
        <v>2282</v>
      </c>
      <c r="J709">
        <v>1122</v>
      </c>
      <c r="K709">
        <v>9</v>
      </c>
      <c r="L709" t="s">
        <v>2077</v>
      </c>
      <c r="M709">
        <v>16770</v>
      </c>
      <c r="N709">
        <v>449</v>
      </c>
      <c r="O709">
        <v>17219</v>
      </c>
      <c r="P709" t="s">
        <v>2883</v>
      </c>
    </row>
    <row r="710" spans="1:16" x14ac:dyDescent="0.25">
      <c r="A710" t="s">
        <v>1519</v>
      </c>
      <c r="B710" t="s">
        <v>446</v>
      </c>
      <c r="C710" s="3">
        <v>45393</v>
      </c>
      <c r="D710" t="s">
        <v>1024</v>
      </c>
      <c r="E710">
        <v>24.99</v>
      </c>
      <c r="F710" t="s">
        <v>1026</v>
      </c>
      <c r="G710">
        <v>33</v>
      </c>
      <c r="H710" t="s">
        <v>1520</v>
      </c>
      <c r="I710" t="s">
        <v>1521</v>
      </c>
      <c r="J710">
        <v>1120</v>
      </c>
      <c r="K710">
        <v>8</v>
      </c>
      <c r="L710" t="s">
        <v>1022</v>
      </c>
      <c r="M710">
        <v>6229</v>
      </c>
      <c r="N710">
        <v>1104</v>
      </c>
      <c r="O710">
        <v>7333</v>
      </c>
      <c r="P710" t="s">
        <v>2883</v>
      </c>
    </row>
    <row r="711" spans="1:16" x14ac:dyDescent="0.25">
      <c r="A711" t="s">
        <v>2275</v>
      </c>
      <c r="B711" t="s">
        <v>891</v>
      </c>
      <c r="C711" s="3">
        <v>44000</v>
      </c>
      <c r="D711" t="s">
        <v>1024</v>
      </c>
      <c r="E711">
        <v>29.99</v>
      </c>
      <c r="F711" t="s">
        <v>1189</v>
      </c>
      <c r="G711">
        <v>50</v>
      </c>
      <c r="H711" t="s">
        <v>1503</v>
      </c>
      <c r="I711" t="s">
        <v>1035</v>
      </c>
      <c r="J711">
        <v>1120</v>
      </c>
      <c r="K711">
        <v>9</v>
      </c>
      <c r="L711" t="s">
        <v>2077</v>
      </c>
      <c r="M711">
        <v>104108</v>
      </c>
      <c r="N711">
        <v>4843</v>
      </c>
      <c r="O711">
        <v>108951</v>
      </c>
      <c r="P711" t="s">
        <v>2883</v>
      </c>
    </row>
    <row r="712" spans="1:16" x14ac:dyDescent="0.25">
      <c r="A712" t="s">
        <v>1998</v>
      </c>
      <c r="B712" t="s">
        <v>27</v>
      </c>
      <c r="C712" s="3">
        <v>44912</v>
      </c>
      <c r="D712" t="s">
        <v>1019</v>
      </c>
      <c r="F712" t="s">
        <v>1047</v>
      </c>
      <c r="G712">
        <v>100</v>
      </c>
      <c r="H712" t="s">
        <v>1999</v>
      </c>
      <c r="I712" t="s">
        <v>1999</v>
      </c>
      <c r="J712">
        <v>1115</v>
      </c>
      <c r="K712">
        <v>8</v>
      </c>
      <c r="L712" t="s">
        <v>1022</v>
      </c>
      <c r="M712">
        <v>3014</v>
      </c>
      <c r="N712">
        <v>278</v>
      </c>
      <c r="O712">
        <v>3292</v>
      </c>
      <c r="P712" t="s">
        <v>2882</v>
      </c>
    </row>
    <row r="713" spans="1:16" x14ac:dyDescent="0.25">
      <c r="A713" t="s">
        <v>1517</v>
      </c>
      <c r="B713" t="s">
        <v>734</v>
      </c>
      <c r="C713" s="3">
        <v>43357</v>
      </c>
      <c r="D713" t="s">
        <v>1024</v>
      </c>
      <c r="E713">
        <v>39.99</v>
      </c>
      <c r="F713" t="s">
        <v>1113</v>
      </c>
      <c r="G713">
        <v>99</v>
      </c>
      <c r="H713" t="s">
        <v>1518</v>
      </c>
      <c r="I713" t="s">
        <v>1420</v>
      </c>
      <c r="J713">
        <v>1113</v>
      </c>
      <c r="K713">
        <v>8</v>
      </c>
      <c r="L713" t="s">
        <v>1022</v>
      </c>
      <c r="M713">
        <v>25381</v>
      </c>
      <c r="N713">
        <v>4688</v>
      </c>
      <c r="O713">
        <v>30069</v>
      </c>
      <c r="P713" t="s">
        <v>2883</v>
      </c>
    </row>
    <row r="714" spans="1:16" x14ac:dyDescent="0.25">
      <c r="A714" t="s">
        <v>2002</v>
      </c>
      <c r="B714" t="s">
        <v>910</v>
      </c>
      <c r="C714" s="3">
        <v>43006</v>
      </c>
      <c r="D714" t="s">
        <v>1024</v>
      </c>
      <c r="E714">
        <v>59.99</v>
      </c>
      <c r="F714" t="s">
        <v>1047</v>
      </c>
      <c r="G714">
        <v>152</v>
      </c>
      <c r="H714" t="s">
        <v>1644</v>
      </c>
      <c r="I714" t="s">
        <v>1555</v>
      </c>
      <c r="J714">
        <v>1112</v>
      </c>
      <c r="K714">
        <v>8</v>
      </c>
      <c r="L714" t="s">
        <v>1022</v>
      </c>
      <c r="M714">
        <v>63836</v>
      </c>
      <c r="N714">
        <v>4598</v>
      </c>
      <c r="O714">
        <v>68434</v>
      </c>
      <c r="P714" t="s">
        <v>2883</v>
      </c>
    </row>
    <row r="715" spans="1:16" x14ac:dyDescent="0.25">
      <c r="A715" t="s">
        <v>1871</v>
      </c>
      <c r="B715" t="s">
        <v>178</v>
      </c>
      <c r="C715" s="3">
        <v>43038</v>
      </c>
      <c r="D715" t="s">
        <v>1019</v>
      </c>
      <c r="F715" t="s">
        <v>1178</v>
      </c>
      <c r="G715">
        <v>24</v>
      </c>
      <c r="H715" t="s">
        <v>1872</v>
      </c>
      <c r="I715" t="s">
        <v>1872</v>
      </c>
      <c r="J715">
        <v>1110</v>
      </c>
      <c r="K715">
        <v>8</v>
      </c>
      <c r="L715" t="s">
        <v>1022</v>
      </c>
      <c r="M715">
        <v>499</v>
      </c>
      <c r="N715">
        <v>45</v>
      </c>
      <c r="O715">
        <v>544</v>
      </c>
      <c r="P715" t="s">
        <v>2882</v>
      </c>
    </row>
    <row r="716" spans="1:16" x14ac:dyDescent="0.25">
      <c r="A716" t="s">
        <v>1513</v>
      </c>
      <c r="B716" t="s">
        <v>667</v>
      </c>
      <c r="C716" s="3">
        <v>45996</v>
      </c>
      <c r="D716" t="s">
        <v>1024</v>
      </c>
      <c r="E716">
        <v>4.99</v>
      </c>
      <c r="F716" t="s">
        <v>1086</v>
      </c>
      <c r="G716">
        <v>8</v>
      </c>
      <c r="H716" t="s">
        <v>1514</v>
      </c>
      <c r="I716" t="s">
        <v>1514</v>
      </c>
      <c r="J716">
        <v>1108</v>
      </c>
      <c r="K716">
        <v>8</v>
      </c>
      <c r="L716" t="s">
        <v>1022</v>
      </c>
      <c r="M716">
        <v>3436</v>
      </c>
      <c r="N716">
        <v>852</v>
      </c>
      <c r="O716">
        <v>4288</v>
      </c>
      <c r="P716" t="s">
        <v>2883</v>
      </c>
    </row>
    <row r="717" spans="1:16" x14ac:dyDescent="0.25">
      <c r="A717" t="s">
        <v>2012</v>
      </c>
      <c r="B717" t="s">
        <v>423</v>
      </c>
      <c r="C717" s="3">
        <v>43895</v>
      </c>
      <c r="D717" t="s">
        <v>1024</v>
      </c>
      <c r="E717">
        <v>19.989999999999998</v>
      </c>
      <c r="F717" t="s">
        <v>1047</v>
      </c>
      <c r="G717">
        <v>38</v>
      </c>
      <c r="H717" t="s">
        <v>2013</v>
      </c>
      <c r="I717" t="s">
        <v>2013</v>
      </c>
      <c r="J717">
        <v>1106</v>
      </c>
      <c r="K717">
        <v>8</v>
      </c>
      <c r="L717" t="s">
        <v>1022</v>
      </c>
      <c r="M717">
        <v>18637</v>
      </c>
      <c r="N717">
        <v>1951</v>
      </c>
      <c r="O717">
        <v>20588</v>
      </c>
      <c r="P717" t="s">
        <v>2883</v>
      </c>
    </row>
    <row r="718" spans="1:16" x14ac:dyDescent="0.25">
      <c r="A718" t="s">
        <v>2830</v>
      </c>
      <c r="B718" t="s">
        <v>569</v>
      </c>
      <c r="C718" s="3">
        <v>45980</v>
      </c>
      <c r="D718" t="s">
        <v>1019</v>
      </c>
      <c r="F718" t="s">
        <v>1020</v>
      </c>
      <c r="G718">
        <v>31</v>
      </c>
      <c r="H718" t="s">
        <v>2831</v>
      </c>
      <c r="I718" t="s">
        <v>2831</v>
      </c>
      <c r="J718">
        <v>1103</v>
      </c>
      <c r="K718">
        <v>0</v>
      </c>
      <c r="L718" t="s">
        <v>2684</v>
      </c>
      <c r="M718">
        <v>0</v>
      </c>
      <c r="N718">
        <v>1</v>
      </c>
      <c r="O718">
        <v>1</v>
      </c>
      <c r="P718" t="s">
        <v>2882</v>
      </c>
    </row>
    <row r="719" spans="1:16" x14ac:dyDescent="0.25">
      <c r="A719" t="s">
        <v>1169</v>
      </c>
      <c r="B719" t="s">
        <v>391</v>
      </c>
      <c r="C719" s="3">
        <v>46219</v>
      </c>
      <c r="D719" t="s">
        <v>1024</v>
      </c>
      <c r="E719">
        <v>29.99</v>
      </c>
      <c r="F719" t="s">
        <v>1110</v>
      </c>
      <c r="H719" t="s">
        <v>1170</v>
      </c>
      <c r="I719" t="s">
        <v>1132</v>
      </c>
      <c r="J719">
        <v>1102</v>
      </c>
      <c r="K719">
        <v>8</v>
      </c>
      <c r="L719" t="s">
        <v>1022</v>
      </c>
      <c r="M719">
        <v>14187</v>
      </c>
      <c r="N719">
        <v>2335</v>
      </c>
      <c r="O719">
        <v>16522</v>
      </c>
      <c r="P719" t="s">
        <v>2883</v>
      </c>
    </row>
    <row r="720" spans="1:16" x14ac:dyDescent="0.25">
      <c r="A720" t="s">
        <v>2456</v>
      </c>
      <c r="B720" t="s">
        <v>330</v>
      </c>
      <c r="C720" s="3">
        <v>45552</v>
      </c>
      <c r="D720" t="s">
        <v>1024</v>
      </c>
      <c r="E720">
        <v>49.99</v>
      </c>
      <c r="F720" t="s">
        <v>1042</v>
      </c>
      <c r="G720">
        <v>69</v>
      </c>
      <c r="H720" t="s">
        <v>1043</v>
      </c>
      <c r="I720" t="s">
        <v>1043</v>
      </c>
      <c r="J720">
        <v>1100</v>
      </c>
      <c r="K720">
        <v>6</v>
      </c>
      <c r="L720" t="s">
        <v>2338</v>
      </c>
      <c r="M720">
        <v>12964</v>
      </c>
      <c r="N720">
        <v>3279</v>
      </c>
      <c r="O720">
        <v>16243</v>
      </c>
      <c r="P720" t="s">
        <v>2883</v>
      </c>
    </row>
    <row r="721" spans="1:16" x14ac:dyDescent="0.25">
      <c r="A721" t="s">
        <v>2670</v>
      </c>
      <c r="B721" t="s">
        <v>135</v>
      </c>
      <c r="C721" s="3">
        <v>42850</v>
      </c>
      <c r="D721" t="s">
        <v>1019</v>
      </c>
      <c r="F721" t="s">
        <v>1047</v>
      </c>
      <c r="G721">
        <v>21</v>
      </c>
      <c r="H721" t="s">
        <v>2671</v>
      </c>
      <c r="I721" t="s">
        <v>2672</v>
      </c>
      <c r="J721">
        <v>1097</v>
      </c>
      <c r="K721">
        <v>5</v>
      </c>
      <c r="L721" t="s">
        <v>2514</v>
      </c>
      <c r="M721">
        <v>5371</v>
      </c>
      <c r="N721">
        <v>6140</v>
      </c>
      <c r="O721">
        <v>11511</v>
      </c>
      <c r="P721" t="s">
        <v>2882</v>
      </c>
    </row>
    <row r="722" spans="1:16" x14ac:dyDescent="0.25">
      <c r="A722" t="s">
        <v>1876</v>
      </c>
      <c r="B722" t="s">
        <v>442</v>
      </c>
      <c r="C722" s="3">
        <v>42517</v>
      </c>
      <c r="D722" t="s">
        <v>1019</v>
      </c>
      <c r="F722" t="s">
        <v>1020</v>
      </c>
      <c r="G722">
        <v>77</v>
      </c>
      <c r="H722" t="s">
        <v>1877</v>
      </c>
      <c r="I722" t="s">
        <v>1877</v>
      </c>
      <c r="J722">
        <v>1094</v>
      </c>
      <c r="K722">
        <v>8</v>
      </c>
      <c r="L722" t="s">
        <v>1022</v>
      </c>
      <c r="M722">
        <v>1403</v>
      </c>
      <c r="N722">
        <v>264</v>
      </c>
      <c r="O722">
        <v>1667</v>
      </c>
      <c r="P722" t="s">
        <v>2882</v>
      </c>
    </row>
    <row r="723" spans="1:16" x14ac:dyDescent="0.25">
      <c r="A723" t="s">
        <v>2586</v>
      </c>
      <c r="B723" t="s">
        <v>630</v>
      </c>
      <c r="C723" s="3">
        <v>45946</v>
      </c>
      <c r="D723" t="s">
        <v>1024</v>
      </c>
      <c r="E723">
        <v>29.99</v>
      </c>
      <c r="F723" t="s">
        <v>1110</v>
      </c>
      <c r="H723" t="s">
        <v>2587</v>
      </c>
      <c r="I723" t="s">
        <v>2587</v>
      </c>
      <c r="J723">
        <v>1093</v>
      </c>
      <c r="K723">
        <v>5</v>
      </c>
      <c r="L723" t="s">
        <v>2514</v>
      </c>
      <c r="M723">
        <v>3734</v>
      </c>
      <c r="N723">
        <v>3129</v>
      </c>
      <c r="O723">
        <v>6863</v>
      </c>
      <c r="P723" t="s">
        <v>2883</v>
      </c>
    </row>
    <row r="724" spans="1:16" x14ac:dyDescent="0.25">
      <c r="A724" t="s">
        <v>2585</v>
      </c>
      <c r="B724" t="s">
        <v>501</v>
      </c>
      <c r="C724" s="3">
        <v>43970</v>
      </c>
      <c r="D724" t="s">
        <v>1024</v>
      </c>
      <c r="E724">
        <v>29.99</v>
      </c>
      <c r="F724" t="s">
        <v>1113</v>
      </c>
      <c r="G724">
        <v>85</v>
      </c>
      <c r="H724" t="s">
        <v>1539</v>
      </c>
      <c r="I724" t="s">
        <v>1123</v>
      </c>
      <c r="J724">
        <v>1092</v>
      </c>
      <c r="K724">
        <v>5</v>
      </c>
      <c r="L724" t="s">
        <v>2514</v>
      </c>
      <c r="M724">
        <v>14967</v>
      </c>
      <c r="N724">
        <v>10083</v>
      </c>
      <c r="O724">
        <v>25050</v>
      </c>
      <c r="P724" t="s">
        <v>2883</v>
      </c>
    </row>
    <row r="725" spans="1:16" x14ac:dyDescent="0.25">
      <c r="A725" t="s">
        <v>2588</v>
      </c>
      <c r="B725" t="s">
        <v>632</v>
      </c>
      <c r="C725" s="3">
        <v>45190</v>
      </c>
      <c r="D725" t="s">
        <v>1024</v>
      </c>
      <c r="E725">
        <v>29.99</v>
      </c>
      <c r="F725" t="s">
        <v>1042</v>
      </c>
      <c r="G725">
        <v>22</v>
      </c>
      <c r="H725" t="s">
        <v>2589</v>
      </c>
      <c r="I725" t="s">
        <v>1668</v>
      </c>
      <c r="J725">
        <v>1090</v>
      </c>
      <c r="K725">
        <v>5</v>
      </c>
      <c r="L725" t="s">
        <v>2514</v>
      </c>
      <c r="M725">
        <v>17884</v>
      </c>
      <c r="N725">
        <v>23121</v>
      </c>
      <c r="O725">
        <v>41005</v>
      </c>
      <c r="P725" t="s">
        <v>2883</v>
      </c>
    </row>
    <row r="726" spans="1:16" x14ac:dyDescent="0.25">
      <c r="A726" t="s">
        <v>1737</v>
      </c>
      <c r="B726" t="s">
        <v>793</v>
      </c>
      <c r="C726" s="3">
        <v>42573</v>
      </c>
      <c r="D726" t="s">
        <v>1024</v>
      </c>
      <c r="E726">
        <v>14.99</v>
      </c>
      <c r="F726" t="s">
        <v>1042</v>
      </c>
      <c r="G726">
        <v>51</v>
      </c>
      <c r="H726" t="s">
        <v>1738</v>
      </c>
      <c r="I726" t="s">
        <v>1738</v>
      </c>
      <c r="J726">
        <v>1089</v>
      </c>
      <c r="K726">
        <v>8</v>
      </c>
      <c r="L726" t="s">
        <v>1022</v>
      </c>
      <c r="M726">
        <v>65745</v>
      </c>
      <c r="N726">
        <v>8740</v>
      </c>
      <c r="O726">
        <v>74485</v>
      </c>
      <c r="P726" t="s">
        <v>2883</v>
      </c>
    </row>
    <row r="727" spans="1:16" x14ac:dyDescent="0.25">
      <c r="A727" t="s">
        <v>1525</v>
      </c>
      <c r="B727" t="s">
        <v>691</v>
      </c>
      <c r="C727" s="3">
        <v>43923</v>
      </c>
      <c r="D727" t="s">
        <v>1024</v>
      </c>
      <c r="E727">
        <v>39.99</v>
      </c>
      <c r="F727" t="s">
        <v>1189</v>
      </c>
      <c r="G727">
        <v>32</v>
      </c>
      <c r="H727" t="s">
        <v>1233</v>
      </c>
      <c r="I727" t="s">
        <v>1233</v>
      </c>
      <c r="J727">
        <v>1087</v>
      </c>
      <c r="K727">
        <v>8</v>
      </c>
      <c r="L727" t="s">
        <v>1022</v>
      </c>
      <c r="M727">
        <v>36250</v>
      </c>
      <c r="N727">
        <v>7905</v>
      </c>
      <c r="O727">
        <v>44155</v>
      </c>
      <c r="P727" t="s">
        <v>2883</v>
      </c>
    </row>
    <row r="728" spans="1:16" x14ac:dyDescent="0.25">
      <c r="A728" t="s">
        <v>2457</v>
      </c>
      <c r="B728" t="s">
        <v>274</v>
      </c>
      <c r="C728" s="3">
        <v>44048</v>
      </c>
      <c r="D728" t="s">
        <v>1024</v>
      </c>
      <c r="E728">
        <v>19.989999999999998</v>
      </c>
      <c r="F728" t="s">
        <v>1047</v>
      </c>
      <c r="G728">
        <v>8</v>
      </c>
      <c r="H728" t="s">
        <v>2458</v>
      </c>
      <c r="I728" t="s">
        <v>2458</v>
      </c>
      <c r="J728">
        <v>1087</v>
      </c>
      <c r="K728">
        <v>6</v>
      </c>
      <c r="L728" t="s">
        <v>2338</v>
      </c>
      <c r="M728">
        <v>16569</v>
      </c>
      <c r="N728">
        <v>4520</v>
      </c>
      <c r="O728">
        <v>21089</v>
      </c>
      <c r="P728" t="s">
        <v>2883</v>
      </c>
    </row>
    <row r="729" spans="1:16" x14ac:dyDescent="0.25">
      <c r="A729" t="s">
        <v>1526</v>
      </c>
      <c r="B729" t="s">
        <v>86</v>
      </c>
      <c r="C729" s="3">
        <v>43718</v>
      </c>
      <c r="D729" t="s">
        <v>1024</v>
      </c>
      <c r="E729">
        <v>24.99</v>
      </c>
      <c r="F729" t="s">
        <v>1208</v>
      </c>
      <c r="G729">
        <v>45</v>
      </c>
      <c r="H729" t="s">
        <v>1527</v>
      </c>
      <c r="I729" t="s">
        <v>1379</v>
      </c>
      <c r="J729">
        <v>1086</v>
      </c>
      <c r="K729">
        <v>8</v>
      </c>
      <c r="L729" t="s">
        <v>1022</v>
      </c>
      <c r="M729">
        <v>21406</v>
      </c>
      <c r="N729">
        <v>2495</v>
      </c>
      <c r="O729">
        <v>23901</v>
      </c>
      <c r="P729" t="s">
        <v>2883</v>
      </c>
    </row>
    <row r="730" spans="1:16" x14ac:dyDescent="0.25">
      <c r="A730" t="s">
        <v>1472</v>
      </c>
      <c r="B730" t="s">
        <v>403</v>
      </c>
      <c r="C730" s="3">
        <v>36118</v>
      </c>
      <c r="D730" t="s">
        <v>1024</v>
      </c>
      <c r="E730">
        <v>9.99</v>
      </c>
      <c r="F730" t="s">
        <v>1189</v>
      </c>
      <c r="H730" t="s">
        <v>1021</v>
      </c>
      <c r="I730" t="s">
        <v>1021</v>
      </c>
      <c r="J730">
        <v>1085</v>
      </c>
      <c r="K730">
        <v>9</v>
      </c>
      <c r="L730" t="s">
        <v>2077</v>
      </c>
      <c r="M730">
        <v>76411</v>
      </c>
      <c r="N730">
        <v>2769</v>
      </c>
      <c r="O730">
        <v>79180</v>
      </c>
      <c r="P730" t="s">
        <v>2883</v>
      </c>
    </row>
    <row r="731" spans="1:16" x14ac:dyDescent="0.25">
      <c r="A731" t="s">
        <v>1531</v>
      </c>
      <c r="B731" t="s">
        <v>813</v>
      </c>
      <c r="C731" s="3">
        <v>44329</v>
      </c>
      <c r="D731" t="s">
        <v>1024</v>
      </c>
      <c r="E731">
        <v>29.99</v>
      </c>
      <c r="F731" t="s">
        <v>1208</v>
      </c>
      <c r="G731">
        <v>13</v>
      </c>
      <c r="H731" t="s">
        <v>1075</v>
      </c>
      <c r="I731" t="s">
        <v>1075</v>
      </c>
      <c r="J731">
        <v>1083</v>
      </c>
      <c r="K731">
        <v>8</v>
      </c>
      <c r="L731" t="s">
        <v>1022</v>
      </c>
      <c r="M731">
        <v>53579</v>
      </c>
      <c r="N731">
        <v>6368</v>
      </c>
      <c r="O731">
        <v>59947</v>
      </c>
      <c r="P731" t="s">
        <v>2883</v>
      </c>
    </row>
    <row r="732" spans="1:16" x14ac:dyDescent="0.25">
      <c r="A732" t="s">
        <v>2005</v>
      </c>
      <c r="B732" t="s">
        <v>918</v>
      </c>
      <c r="C732" s="3">
        <v>43553</v>
      </c>
      <c r="D732" t="s">
        <v>1024</v>
      </c>
      <c r="E732">
        <v>39.99</v>
      </c>
      <c r="F732" t="s">
        <v>1047</v>
      </c>
      <c r="G732">
        <v>40</v>
      </c>
      <c r="H732" t="s">
        <v>2006</v>
      </c>
      <c r="I732" t="s">
        <v>2007</v>
      </c>
      <c r="J732">
        <v>1078</v>
      </c>
      <c r="K732">
        <v>8</v>
      </c>
      <c r="L732" t="s">
        <v>1022</v>
      </c>
      <c r="M732">
        <v>11698</v>
      </c>
      <c r="N732">
        <v>1814</v>
      </c>
      <c r="O732">
        <v>13512</v>
      </c>
      <c r="P732" t="s">
        <v>2883</v>
      </c>
    </row>
    <row r="733" spans="1:16" x14ac:dyDescent="0.25">
      <c r="A733" t="s">
        <v>1524</v>
      </c>
      <c r="B733" t="s">
        <v>530</v>
      </c>
      <c r="C733" s="3">
        <v>41876</v>
      </c>
      <c r="D733" t="s">
        <v>1024</v>
      </c>
      <c r="E733">
        <v>19.989999999999998</v>
      </c>
      <c r="F733" t="s">
        <v>1189</v>
      </c>
      <c r="G733">
        <v>49</v>
      </c>
      <c r="H733" t="s">
        <v>1434</v>
      </c>
      <c r="I733" t="s">
        <v>1435</v>
      </c>
      <c r="J733">
        <v>1075</v>
      </c>
      <c r="K733">
        <v>8</v>
      </c>
      <c r="L733" t="s">
        <v>1022</v>
      </c>
      <c r="M733">
        <v>21070</v>
      </c>
      <c r="N733">
        <v>2735</v>
      </c>
      <c r="O733">
        <v>23805</v>
      </c>
      <c r="P733" t="s">
        <v>2883</v>
      </c>
    </row>
    <row r="734" spans="1:16" x14ac:dyDescent="0.25">
      <c r="A734" t="s">
        <v>1515</v>
      </c>
      <c r="B734" t="s">
        <v>394</v>
      </c>
      <c r="C734" s="3">
        <v>44539</v>
      </c>
      <c r="D734" t="s">
        <v>1024</v>
      </c>
      <c r="E734">
        <v>39.99</v>
      </c>
      <c r="F734" t="s">
        <v>1189</v>
      </c>
      <c r="G734">
        <v>57</v>
      </c>
      <c r="H734" t="s">
        <v>1516</v>
      </c>
      <c r="I734" t="s">
        <v>1516</v>
      </c>
      <c r="J734">
        <v>1071</v>
      </c>
      <c r="K734">
        <v>8</v>
      </c>
      <c r="L734" t="s">
        <v>1022</v>
      </c>
      <c r="M734">
        <v>31088</v>
      </c>
      <c r="N734">
        <v>5426</v>
      </c>
      <c r="O734">
        <v>36514</v>
      </c>
      <c r="P734" t="s">
        <v>2883</v>
      </c>
    </row>
    <row r="735" spans="1:16" x14ac:dyDescent="0.25">
      <c r="A735" t="s">
        <v>2003</v>
      </c>
      <c r="B735" t="s">
        <v>956</v>
      </c>
      <c r="C735" s="3">
        <v>45435</v>
      </c>
      <c r="D735" t="s">
        <v>1024</v>
      </c>
      <c r="E735">
        <v>39.99</v>
      </c>
      <c r="F735" t="s">
        <v>1047</v>
      </c>
      <c r="G735">
        <v>49</v>
      </c>
      <c r="H735" t="s">
        <v>2004</v>
      </c>
      <c r="I735" t="s">
        <v>2004</v>
      </c>
      <c r="J735">
        <v>1069</v>
      </c>
      <c r="K735">
        <v>8</v>
      </c>
      <c r="L735" t="s">
        <v>1022</v>
      </c>
      <c r="M735">
        <v>7518</v>
      </c>
      <c r="N735">
        <v>1746</v>
      </c>
      <c r="O735">
        <v>9264</v>
      </c>
      <c r="P735" t="s">
        <v>2883</v>
      </c>
    </row>
    <row r="736" spans="1:16" x14ac:dyDescent="0.25">
      <c r="A736" t="s">
        <v>1530</v>
      </c>
      <c r="B736" t="s">
        <v>87</v>
      </c>
      <c r="C736" s="3">
        <v>45162</v>
      </c>
      <c r="D736" t="s">
        <v>1024</v>
      </c>
      <c r="E736">
        <v>29.99</v>
      </c>
      <c r="F736" t="s">
        <v>1208</v>
      </c>
      <c r="G736">
        <v>60</v>
      </c>
      <c r="H736" t="s">
        <v>1527</v>
      </c>
      <c r="I736" t="s">
        <v>1379</v>
      </c>
      <c r="J736">
        <v>1067</v>
      </c>
      <c r="K736">
        <v>8</v>
      </c>
      <c r="L736" t="s">
        <v>1022</v>
      </c>
      <c r="M736">
        <v>6307</v>
      </c>
      <c r="N736">
        <v>689</v>
      </c>
      <c r="O736">
        <v>6996</v>
      </c>
      <c r="P736" t="s">
        <v>2883</v>
      </c>
    </row>
    <row r="737" spans="1:16" x14ac:dyDescent="0.25">
      <c r="A737" t="s">
        <v>2285</v>
      </c>
      <c r="B737" t="s">
        <v>805</v>
      </c>
      <c r="C737" s="3">
        <v>42942</v>
      </c>
      <c r="D737" t="s">
        <v>1024</v>
      </c>
      <c r="E737">
        <v>14.99</v>
      </c>
      <c r="F737" t="s">
        <v>1091</v>
      </c>
      <c r="H737" t="s">
        <v>2286</v>
      </c>
      <c r="I737" t="s">
        <v>2286</v>
      </c>
      <c r="J737">
        <v>1067</v>
      </c>
      <c r="K737">
        <v>9</v>
      </c>
      <c r="L737" t="s">
        <v>2077</v>
      </c>
      <c r="M737">
        <v>1344</v>
      </c>
      <c r="N737">
        <v>67</v>
      </c>
      <c r="O737">
        <v>1411</v>
      </c>
      <c r="P737" t="s">
        <v>2883</v>
      </c>
    </row>
    <row r="738" spans="1:16" x14ac:dyDescent="0.25">
      <c r="A738" t="s">
        <v>2291</v>
      </c>
      <c r="B738" t="s">
        <v>480</v>
      </c>
      <c r="C738" s="3">
        <v>46164</v>
      </c>
      <c r="D738" t="s">
        <v>1024</v>
      </c>
      <c r="E738">
        <v>69.989999999999995</v>
      </c>
      <c r="F738" t="s">
        <v>1113</v>
      </c>
      <c r="G738">
        <v>52</v>
      </c>
      <c r="H738" t="s">
        <v>1571</v>
      </c>
      <c r="I738" t="s">
        <v>1423</v>
      </c>
      <c r="J738">
        <v>1060</v>
      </c>
      <c r="K738">
        <v>9</v>
      </c>
      <c r="L738" t="s">
        <v>2077</v>
      </c>
      <c r="M738">
        <v>8201</v>
      </c>
      <c r="N738">
        <v>369</v>
      </c>
      <c r="O738">
        <v>8570</v>
      </c>
      <c r="P738" t="s">
        <v>2883</v>
      </c>
    </row>
    <row r="739" spans="1:16" x14ac:dyDescent="0.25">
      <c r="A739" t="s">
        <v>1532</v>
      </c>
      <c r="B739" t="s">
        <v>684</v>
      </c>
      <c r="C739" s="3">
        <v>45594</v>
      </c>
      <c r="D739" t="s">
        <v>1024</v>
      </c>
      <c r="E739">
        <v>49.99</v>
      </c>
      <c r="F739" t="s">
        <v>1189</v>
      </c>
      <c r="G739">
        <v>51</v>
      </c>
      <c r="H739" t="s">
        <v>1185</v>
      </c>
      <c r="I739" t="s">
        <v>1185</v>
      </c>
      <c r="J739">
        <v>1056</v>
      </c>
      <c r="K739">
        <v>8</v>
      </c>
      <c r="L739" t="s">
        <v>1022</v>
      </c>
      <c r="M739">
        <v>10946</v>
      </c>
      <c r="N739">
        <v>928</v>
      </c>
      <c r="O739">
        <v>11874</v>
      </c>
      <c r="P739" t="s">
        <v>2883</v>
      </c>
    </row>
    <row r="740" spans="1:16" x14ac:dyDescent="0.25">
      <c r="A740" t="s">
        <v>1739</v>
      </c>
      <c r="B740" t="s">
        <v>326</v>
      </c>
      <c r="C740" s="3">
        <v>42502</v>
      </c>
      <c r="D740" t="s">
        <v>1024</v>
      </c>
      <c r="E740">
        <v>29.99</v>
      </c>
      <c r="F740" t="s">
        <v>1042</v>
      </c>
      <c r="G740">
        <v>69</v>
      </c>
      <c r="H740" t="s">
        <v>1043</v>
      </c>
      <c r="I740" t="s">
        <v>1043</v>
      </c>
      <c r="J740">
        <v>1056</v>
      </c>
      <c r="K740">
        <v>8</v>
      </c>
      <c r="L740" t="s">
        <v>1022</v>
      </c>
      <c r="M740">
        <v>11637</v>
      </c>
      <c r="N740">
        <v>1514</v>
      </c>
      <c r="O740">
        <v>13151</v>
      </c>
      <c r="P740" t="s">
        <v>2883</v>
      </c>
    </row>
    <row r="741" spans="1:16" x14ac:dyDescent="0.25">
      <c r="A741" t="s">
        <v>2838</v>
      </c>
      <c r="B741" t="s">
        <v>644</v>
      </c>
      <c r="C741" s="3">
        <v>45384</v>
      </c>
      <c r="D741" t="s">
        <v>1019</v>
      </c>
      <c r="F741" t="s">
        <v>1020</v>
      </c>
      <c r="G741">
        <v>16</v>
      </c>
      <c r="H741" t="s">
        <v>2839</v>
      </c>
      <c r="I741" t="s">
        <v>2839</v>
      </c>
      <c r="J741">
        <v>1056</v>
      </c>
      <c r="K741">
        <v>5</v>
      </c>
      <c r="L741" t="s">
        <v>2514</v>
      </c>
      <c r="M741">
        <v>14643</v>
      </c>
      <c r="N741">
        <v>8633</v>
      </c>
      <c r="O741">
        <v>23276</v>
      </c>
      <c r="P741" t="s">
        <v>2882</v>
      </c>
    </row>
    <row r="742" spans="1:16" x14ac:dyDescent="0.25">
      <c r="A742" t="s">
        <v>2008</v>
      </c>
      <c r="B742" t="s">
        <v>870</v>
      </c>
      <c r="C742" s="3">
        <v>44483</v>
      </c>
      <c r="D742" t="s">
        <v>1024</v>
      </c>
      <c r="E742">
        <v>29.99</v>
      </c>
      <c r="F742" t="s">
        <v>1047</v>
      </c>
      <c r="G742">
        <v>54</v>
      </c>
      <c r="H742" t="s">
        <v>2009</v>
      </c>
      <c r="I742" t="s">
        <v>2009</v>
      </c>
      <c r="J742">
        <v>1055</v>
      </c>
      <c r="K742">
        <v>8</v>
      </c>
      <c r="L742" t="s">
        <v>1022</v>
      </c>
      <c r="M742">
        <v>9240</v>
      </c>
      <c r="N742">
        <v>958</v>
      </c>
      <c r="O742">
        <v>10198</v>
      </c>
      <c r="P742" t="s">
        <v>2883</v>
      </c>
    </row>
    <row r="743" spans="1:16" x14ac:dyDescent="0.25">
      <c r="A743" t="s">
        <v>2459</v>
      </c>
      <c r="B743" t="s">
        <v>46</v>
      </c>
      <c r="C743" s="3">
        <v>41954</v>
      </c>
      <c r="D743" t="s">
        <v>1024</v>
      </c>
      <c r="E743">
        <v>29.99</v>
      </c>
      <c r="F743" t="s">
        <v>1113</v>
      </c>
      <c r="G743">
        <v>57</v>
      </c>
      <c r="H743" t="s">
        <v>1212</v>
      </c>
      <c r="I743" t="s">
        <v>1212</v>
      </c>
      <c r="J743">
        <v>1055</v>
      </c>
      <c r="K743">
        <v>6</v>
      </c>
      <c r="L743" t="s">
        <v>2338</v>
      </c>
      <c r="M743">
        <v>21166</v>
      </c>
      <c r="N743">
        <v>6916</v>
      </c>
      <c r="O743">
        <v>28082</v>
      </c>
      <c r="P743" t="s">
        <v>2883</v>
      </c>
    </row>
    <row r="744" spans="1:16" x14ac:dyDescent="0.25">
      <c r="A744" t="s">
        <v>1167</v>
      </c>
      <c r="B744" t="s">
        <v>984</v>
      </c>
      <c r="C744" s="3">
        <v>44912</v>
      </c>
      <c r="D744" t="s">
        <v>1024</v>
      </c>
      <c r="E744">
        <v>59.99</v>
      </c>
      <c r="F744" t="s">
        <v>1110</v>
      </c>
      <c r="H744" t="s">
        <v>1168</v>
      </c>
      <c r="I744" t="s">
        <v>1168</v>
      </c>
      <c r="J744">
        <v>1052</v>
      </c>
      <c r="K744">
        <v>8</v>
      </c>
      <c r="L744" t="s">
        <v>1022</v>
      </c>
      <c r="M744">
        <v>2707</v>
      </c>
      <c r="N744">
        <v>409</v>
      </c>
      <c r="O744">
        <v>3116</v>
      </c>
      <c r="P744" t="s">
        <v>2883</v>
      </c>
    </row>
    <row r="745" spans="1:16" x14ac:dyDescent="0.25">
      <c r="A745" t="s">
        <v>2842</v>
      </c>
      <c r="B745" t="s">
        <v>112</v>
      </c>
      <c r="C745" s="3">
        <v>42943</v>
      </c>
      <c r="D745" t="s">
        <v>1019</v>
      </c>
      <c r="F745" t="s">
        <v>1020</v>
      </c>
      <c r="G745">
        <v>19</v>
      </c>
      <c r="H745" t="s">
        <v>2843</v>
      </c>
      <c r="I745" t="s">
        <v>2843</v>
      </c>
      <c r="J745">
        <v>1051</v>
      </c>
      <c r="K745">
        <v>5</v>
      </c>
      <c r="L745" t="s">
        <v>2514</v>
      </c>
      <c r="M745">
        <v>9926</v>
      </c>
      <c r="N745">
        <v>7893</v>
      </c>
      <c r="O745">
        <v>17819</v>
      </c>
      <c r="P745" t="s">
        <v>2882</v>
      </c>
    </row>
    <row r="746" spans="1:16" x14ac:dyDescent="0.25">
      <c r="A746" t="s">
        <v>2673</v>
      </c>
      <c r="B746" t="s">
        <v>492</v>
      </c>
      <c r="C746" s="3">
        <v>45970</v>
      </c>
      <c r="D746" t="s">
        <v>1019</v>
      </c>
      <c r="F746" t="s">
        <v>1067</v>
      </c>
      <c r="H746" t="s">
        <v>2674</v>
      </c>
      <c r="I746" t="s">
        <v>2674</v>
      </c>
      <c r="J746">
        <v>1051</v>
      </c>
      <c r="K746">
        <v>5</v>
      </c>
      <c r="L746" t="s">
        <v>2514</v>
      </c>
      <c r="M746">
        <v>122</v>
      </c>
      <c r="N746">
        <v>58</v>
      </c>
      <c r="O746">
        <v>180</v>
      </c>
      <c r="P746" t="s">
        <v>2882</v>
      </c>
    </row>
    <row r="747" spans="1:16" x14ac:dyDescent="0.25">
      <c r="A747" t="s">
        <v>2010</v>
      </c>
      <c r="B747" t="s">
        <v>290</v>
      </c>
      <c r="C747" s="3">
        <v>46150</v>
      </c>
      <c r="D747" t="s">
        <v>1024</v>
      </c>
      <c r="E747">
        <v>9.99</v>
      </c>
      <c r="F747" t="s">
        <v>1047</v>
      </c>
      <c r="G747">
        <v>40</v>
      </c>
      <c r="H747" t="s">
        <v>2011</v>
      </c>
      <c r="I747" t="s">
        <v>1251</v>
      </c>
      <c r="J747">
        <v>1050</v>
      </c>
      <c r="K747">
        <v>8</v>
      </c>
      <c r="L747" t="s">
        <v>1022</v>
      </c>
      <c r="M747">
        <v>2791</v>
      </c>
      <c r="N747">
        <v>392</v>
      </c>
      <c r="O747">
        <v>3183</v>
      </c>
      <c r="P747" t="s">
        <v>2883</v>
      </c>
    </row>
    <row r="748" spans="1:16" x14ac:dyDescent="0.25">
      <c r="A748" t="s">
        <v>2832</v>
      </c>
      <c r="B748" t="s">
        <v>361</v>
      </c>
      <c r="C748" s="3">
        <v>41963</v>
      </c>
      <c r="D748" t="s">
        <v>1019</v>
      </c>
      <c r="F748" t="s">
        <v>1020</v>
      </c>
      <c r="G748">
        <v>165</v>
      </c>
      <c r="H748" t="s">
        <v>2833</v>
      </c>
      <c r="I748" t="s">
        <v>1088</v>
      </c>
      <c r="J748">
        <v>1049</v>
      </c>
      <c r="K748">
        <v>6</v>
      </c>
      <c r="L748" t="s">
        <v>2338</v>
      </c>
      <c r="M748">
        <v>3656</v>
      </c>
      <c r="N748">
        <v>1189</v>
      </c>
      <c r="O748">
        <v>4845</v>
      </c>
      <c r="P748" t="s">
        <v>2882</v>
      </c>
    </row>
    <row r="749" spans="1:16" x14ac:dyDescent="0.25">
      <c r="A749" t="s">
        <v>1528</v>
      </c>
      <c r="B749" t="s">
        <v>566</v>
      </c>
      <c r="C749" s="3">
        <v>45232</v>
      </c>
      <c r="D749" t="s">
        <v>1024</v>
      </c>
      <c r="E749">
        <v>39.99</v>
      </c>
      <c r="F749" t="s">
        <v>1110</v>
      </c>
      <c r="G749">
        <v>60</v>
      </c>
      <c r="H749" t="s">
        <v>1529</v>
      </c>
      <c r="I749" t="s">
        <v>1529</v>
      </c>
      <c r="J749">
        <v>1047</v>
      </c>
      <c r="K749">
        <v>8</v>
      </c>
      <c r="L749" t="s">
        <v>1022</v>
      </c>
      <c r="M749">
        <v>10582</v>
      </c>
      <c r="N749">
        <v>695</v>
      </c>
      <c r="O749">
        <v>11277</v>
      </c>
      <c r="P749" t="s">
        <v>2883</v>
      </c>
    </row>
    <row r="750" spans="1:16" x14ac:dyDescent="0.25">
      <c r="A750" t="s">
        <v>2295</v>
      </c>
      <c r="B750" t="s">
        <v>132</v>
      </c>
      <c r="C750" s="3">
        <v>41178</v>
      </c>
      <c r="D750" t="s">
        <v>1024</v>
      </c>
      <c r="E750">
        <v>14.99</v>
      </c>
      <c r="F750" t="s">
        <v>1042</v>
      </c>
      <c r="G750">
        <v>12</v>
      </c>
      <c r="H750" t="s">
        <v>2296</v>
      </c>
      <c r="I750" t="s">
        <v>2296</v>
      </c>
      <c r="J750">
        <v>1041</v>
      </c>
      <c r="K750">
        <v>9</v>
      </c>
      <c r="L750" t="s">
        <v>2077</v>
      </c>
      <c r="M750">
        <v>57628</v>
      </c>
      <c r="N750">
        <v>1888</v>
      </c>
      <c r="O750">
        <v>59516</v>
      </c>
      <c r="P750" t="s">
        <v>2883</v>
      </c>
    </row>
    <row r="751" spans="1:16" x14ac:dyDescent="0.25">
      <c r="A751" t="s">
        <v>2837</v>
      </c>
      <c r="B751" t="s">
        <v>602</v>
      </c>
      <c r="C751" s="3">
        <v>45558</v>
      </c>
      <c r="D751" t="s">
        <v>1019</v>
      </c>
      <c r="F751" t="s">
        <v>1020</v>
      </c>
      <c r="G751">
        <v>12</v>
      </c>
      <c r="H751" t="s">
        <v>1555</v>
      </c>
      <c r="I751" t="s">
        <v>1728</v>
      </c>
      <c r="J751">
        <v>1039</v>
      </c>
      <c r="K751">
        <v>6</v>
      </c>
      <c r="L751" t="s">
        <v>2338</v>
      </c>
      <c r="M751">
        <v>1835</v>
      </c>
      <c r="N751">
        <v>767</v>
      </c>
      <c r="O751">
        <v>2602</v>
      </c>
      <c r="P751" t="s">
        <v>2882</v>
      </c>
    </row>
    <row r="752" spans="1:16" x14ac:dyDescent="0.25">
      <c r="A752" t="s">
        <v>2292</v>
      </c>
      <c r="B752" t="s">
        <v>825</v>
      </c>
      <c r="C752" s="3">
        <v>40814</v>
      </c>
      <c r="D752" t="s">
        <v>1024</v>
      </c>
      <c r="E752">
        <v>12.99</v>
      </c>
      <c r="F752" t="s">
        <v>1047</v>
      </c>
      <c r="H752" t="s">
        <v>2293</v>
      </c>
      <c r="I752" t="s">
        <v>1043</v>
      </c>
      <c r="J752">
        <v>1039</v>
      </c>
      <c r="K752">
        <v>9</v>
      </c>
      <c r="L752" t="s">
        <v>2077</v>
      </c>
      <c r="M752">
        <v>8543</v>
      </c>
      <c r="N752">
        <v>278</v>
      </c>
      <c r="O752">
        <v>8821</v>
      </c>
      <c r="P752" t="s">
        <v>2883</v>
      </c>
    </row>
    <row r="753" spans="1:16" x14ac:dyDescent="0.25">
      <c r="A753" t="s">
        <v>1171</v>
      </c>
      <c r="B753" t="s">
        <v>253</v>
      </c>
      <c r="C753" s="3">
        <v>44901</v>
      </c>
      <c r="D753" t="s">
        <v>1024</v>
      </c>
      <c r="E753">
        <v>29.99</v>
      </c>
      <c r="F753" t="s">
        <v>1047</v>
      </c>
      <c r="H753" t="s">
        <v>1172</v>
      </c>
      <c r="I753" t="s">
        <v>1173</v>
      </c>
      <c r="J753">
        <v>1035</v>
      </c>
      <c r="K753">
        <v>8</v>
      </c>
      <c r="L753" t="s">
        <v>1022</v>
      </c>
      <c r="M753">
        <v>24466</v>
      </c>
      <c r="N753">
        <v>1331</v>
      </c>
      <c r="O753">
        <v>25797</v>
      </c>
      <c r="P753" t="s">
        <v>2883</v>
      </c>
    </row>
    <row r="754" spans="1:16" x14ac:dyDescent="0.25">
      <c r="A754" t="s">
        <v>2460</v>
      </c>
      <c r="B754" t="s">
        <v>873</v>
      </c>
      <c r="C754" s="3">
        <v>45688</v>
      </c>
      <c r="D754" t="s">
        <v>1024</v>
      </c>
      <c r="E754">
        <v>29.99</v>
      </c>
      <c r="F754" t="s">
        <v>1110</v>
      </c>
      <c r="H754" t="s">
        <v>1034</v>
      </c>
      <c r="I754" t="s">
        <v>1035</v>
      </c>
      <c r="J754">
        <v>1034</v>
      </c>
      <c r="K754">
        <v>6</v>
      </c>
      <c r="L754" t="s">
        <v>2338</v>
      </c>
      <c r="M754">
        <v>2156</v>
      </c>
      <c r="N754">
        <v>856</v>
      </c>
      <c r="O754">
        <v>3012</v>
      </c>
      <c r="P754" t="s">
        <v>2883</v>
      </c>
    </row>
    <row r="755" spans="1:16" x14ac:dyDescent="0.25">
      <c r="A755" t="s">
        <v>2462</v>
      </c>
      <c r="B755" t="s">
        <v>52</v>
      </c>
      <c r="C755" s="3">
        <v>44977</v>
      </c>
      <c r="D755" t="s">
        <v>1024</v>
      </c>
      <c r="E755">
        <v>59.99</v>
      </c>
      <c r="F755" t="s">
        <v>1042</v>
      </c>
      <c r="G755">
        <v>82</v>
      </c>
      <c r="H755" t="s">
        <v>2463</v>
      </c>
      <c r="I755" t="s">
        <v>1282</v>
      </c>
      <c r="J755">
        <v>1029</v>
      </c>
      <c r="K755">
        <v>6</v>
      </c>
      <c r="L755" t="s">
        <v>2338</v>
      </c>
      <c r="M755">
        <v>13092</v>
      </c>
      <c r="N755">
        <v>3797</v>
      </c>
      <c r="O755">
        <v>16889</v>
      </c>
      <c r="P755" t="s">
        <v>2883</v>
      </c>
    </row>
    <row r="756" spans="1:16" x14ac:dyDescent="0.25">
      <c r="A756" t="s">
        <v>1881</v>
      </c>
      <c r="B756" t="s">
        <v>337</v>
      </c>
      <c r="C756" s="3">
        <v>43788</v>
      </c>
      <c r="D756" t="s">
        <v>1024</v>
      </c>
      <c r="F756" t="s">
        <v>1086</v>
      </c>
      <c r="G756">
        <v>97</v>
      </c>
      <c r="H756" t="s">
        <v>1835</v>
      </c>
      <c r="I756" t="s">
        <v>1555</v>
      </c>
      <c r="J756">
        <v>1026</v>
      </c>
      <c r="K756">
        <v>8</v>
      </c>
      <c r="L756" t="s">
        <v>1022</v>
      </c>
      <c r="M756">
        <v>10781</v>
      </c>
      <c r="N756">
        <v>1087</v>
      </c>
      <c r="O756">
        <v>11868</v>
      </c>
      <c r="P756" t="s">
        <v>2883</v>
      </c>
    </row>
    <row r="757" spans="1:16" x14ac:dyDescent="0.25">
      <c r="A757" t="s">
        <v>2834</v>
      </c>
      <c r="B757" t="s">
        <v>114</v>
      </c>
      <c r="C757" s="3">
        <v>45028</v>
      </c>
      <c r="D757" t="s">
        <v>1019</v>
      </c>
      <c r="F757" t="s">
        <v>1020</v>
      </c>
      <c r="G757">
        <v>87</v>
      </c>
      <c r="H757" t="s">
        <v>2835</v>
      </c>
      <c r="I757" t="s">
        <v>2836</v>
      </c>
      <c r="J757">
        <v>1026</v>
      </c>
      <c r="K757">
        <v>6</v>
      </c>
      <c r="L757" t="s">
        <v>2338</v>
      </c>
      <c r="M757">
        <v>3906</v>
      </c>
      <c r="N757">
        <v>1618</v>
      </c>
      <c r="O757">
        <v>5524</v>
      </c>
      <c r="P757" t="s">
        <v>2882</v>
      </c>
    </row>
    <row r="758" spans="1:16" x14ac:dyDescent="0.25">
      <c r="A758" t="s">
        <v>2289</v>
      </c>
      <c r="B758" t="s">
        <v>448</v>
      </c>
      <c r="C758" s="3">
        <v>44488</v>
      </c>
      <c r="D758" t="s">
        <v>1024</v>
      </c>
      <c r="E758">
        <v>19.989999999999998</v>
      </c>
      <c r="F758" t="s">
        <v>1047</v>
      </c>
      <c r="G758">
        <v>40</v>
      </c>
      <c r="H758" t="s">
        <v>2290</v>
      </c>
      <c r="I758" t="s">
        <v>1598</v>
      </c>
      <c r="J758">
        <v>1024</v>
      </c>
      <c r="K758">
        <v>9</v>
      </c>
      <c r="L758" t="s">
        <v>2077</v>
      </c>
      <c r="M758">
        <v>81067</v>
      </c>
      <c r="N758">
        <v>2657</v>
      </c>
      <c r="O758">
        <v>83724</v>
      </c>
      <c r="P758" t="s">
        <v>2883</v>
      </c>
    </row>
    <row r="759" spans="1:16" x14ac:dyDescent="0.25">
      <c r="A759" t="s">
        <v>1878</v>
      </c>
      <c r="B759" t="s">
        <v>559</v>
      </c>
      <c r="C759" s="3">
        <v>44352</v>
      </c>
      <c r="D759" t="s">
        <v>1019</v>
      </c>
      <c r="F759" t="s">
        <v>1208</v>
      </c>
      <c r="G759">
        <v>49</v>
      </c>
      <c r="H759" t="s">
        <v>1179</v>
      </c>
      <c r="I759" t="s">
        <v>1179</v>
      </c>
      <c r="J759">
        <v>1021</v>
      </c>
      <c r="K759">
        <v>8</v>
      </c>
      <c r="L759" t="s">
        <v>1022</v>
      </c>
      <c r="M759">
        <v>96196</v>
      </c>
      <c r="N759">
        <v>6278</v>
      </c>
      <c r="O759">
        <v>102474</v>
      </c>
      <c r="P759" t="s">
        <v>2882</v>
      </c>
    </row>
    <row r="760" spans="1:16" x14ac:dyDescent="0.25">
      <c r="A760" t="s">
        <v>2287</v>
      </c>
      <c r="B760" t="s">
        <v>737</v>
      </c>
      <c r="C760" s="3">
        <v>45910</v>
      </c>
      <c r="D760" t="s">
        <v>1024</v>
      </c>
      <c r="E760">
        <v>24.99</v>
      </c>
      <c r="F760" t="s">
        <v>1042</v>
      </c>
      <c r="G760">
        <v>85</v>
      </c>
      <c r="H760" t="s">
        <v>2288</v>
      </c>
      <c r="I760" t="s">
        <v>1732</v>
      </c>
      <c r="J760">
        <v>1021</v>
      </c>
      <c r="K760">
        <v>9</v>
      </c>
      <c r="L760" t="s">
        <v>2077</v>
      </c>
      <c r="M760">
        <v>7592</v>
      </c>
      <c r="N760">
        <v>396</v>
      </c>
      <c r="O760">
        <v>7988</v>
      </c>
      <c r="P760" t="s">
        <v>2883</v>
      </c>
    </row>
    <row r="761" spans="1:16" x14ac:dyDescent="0.25">
      <c r="A761" t="s">
        <v>2294</v>
      </c>
      <c r="B761" t="s">
        <v>229</v>
      </c>
      <c r="C761" s="3">
        <v>41387</v>
      </c>
      <c r="D761" t="s">
        <v>1024</v>
      </c>
      <c r="E761">
        <v>9.99</v>
      </c>
      <c r="F761" t="s">
        <v>1110</v>
      </c>
      <c r="H761" t="s">
        <v>2097</v>
      </c>
      <c r="I761" t="s">
        <v>2097</v>
      </c>
      <c r="J761">
        <v>1015</v>
      </c>
      <c r="K761">
        <v>9</v>
      </c>
      <c r="L761" t="s">
        <v>2077</v>
      </c>
      <c r="M761">
        <v>38883</v>
      </c>
      <c r="N761">
        <v>1527</v>
      </c>
      <c r="O761">
        <v>40410</v>
      </c>
      <c r="P761" t="s">
        <v>2883</v>
      </c>
    </row>
    <row r="762" spans="1:16" x14ac:dyDescent="0.25">
      <c r="A762" t="s">
        <v>1164</v>
      </c>
      <c r="B762" t="s">
        <v>722</v>
      </c>
      <c r="C762" s="3">
        <v>44870</v>
      </c>
      <c r="D762" t="s">
        <v>1019</v>
      </c>
      <c r="F762" t="s">
        <v>1067</v>
      </c>
      <c r="H762" t="s">
        <v>1165</v>
      </c>
      <c r="I762" t="s">
        <v>1166</v>
      </c>
      <c r="J762">
        <v>1011</v>
      </c>
      <c r="K762">
        <v>8</v>
      </c>
      <c r="L762" t="s">
        <v>1022</v>
      </c>
      <c r="M762">
        <v>147</v>
      </c>
      <c r="N762">
        <v>29</v>
      </c>
      <c r="O762">
        <v>176</v>
      </c>
      <c r="P762" t="s">
        <v>2882</v>
      </c>
    </row>
    <row r="763" spans="1:16" x14ac:dyDescent="0.25">
      <c r="A763" t="s">
        <v>1879</v>
      </c>
      <c r="B763" t="s">
        <v>549</v>
      </c>
      <c r="C763" s="3">
        <v>45505</v>
      </c>
      <c r="D763" t="s">
        <v>1019</v>
      </c>
      <c r="F763" t="s">
        <v>1020</v>
      </c>
      <c r="G763">
        <v>33</v>
      </c>
      <c r="H763" t="s">
        <v>1880</v>
      </c>
      <c r="I763" t="s">
        <v>1880</v>
      </c>
      <c r="J763">
        <v>1006</v>
      </c>
      <c r="K763">
        <v>8</v>
      </c>
      <c r="L763" t="s">
        <v>1022</v>
      </c>
      <c r="M763">
        <v>1514</v>
      </c>
      <c r="N763">
        <v>190</v>
      </c>
      <c r="O763">
        <v>1704</v>
      </c>
      <c r="P763" t="s">
        <v>2882</v>
      </c>
    </row>
    <row r="764" spans="1:16" x14ac:dyDescent="0.25">
      <c r="A764" t="s">
        <v>2297</v>
      </c>
      <c r="B764" t="s">
        <v>738</v>
      </c>
      <c r="C764" s="3">
        <v>46135</v>
      </c>
      <c r="D764" t="s">
        <v>1024</v>
      </c>
      <c r="E764">
        <v>29.99</v>
      </c>
      <c r="F764" t="s">
        <v>1047</v>
      </c>
      <c r="G764">
        <v>83</v>
      </c>
      <c r="H764" t="s">
        <v>2298</v>
      </c>
      <c r="I764" t="s">
        <v>2298</v>
      </c>
      <c r="J764">
        <v>1006</v>
      </c>
      <c r="K764">
        <v>9</v>
      </c>
      <c r="L764" t="s">
        <v>2077</v>
      </c>
      <c r="M764">
        <v>9032</v>
      </c>
      <c r="N764">
        <v>250</v>
      </c>
      <c r="O764">
        <v>9282</v>
      </c>
      <c r="P764" t="s">
        <v>2883</v>
      </c>
    </row>
    <row r="765" spans="1:16" x14ac:dyDescent="0.25">
      <c r="A765" t="s">
        <v>1882</v>
      </c>
      <c r="B765" t="s">
        <v>338</v>
      </c>
      <c r="C765" s="3">
        <v>44159</v>
      </c>
      <c r="D765" t="s">
        <v>1024</v>
      </c>
      <c r="F765" t="s">
        <v>1086</v>
      </c>
      <c r="G765">
        <v>98</v>
      </c>
      <c r="H765" t="s">
        <v>1835</v>
      </c>
      <c r="I765" t="s">
        <v>1555</v>
      </c>
      <c r="J765">
        <v>1005</v>
      </c>
      <c r="K765">
        <v>8</v>
      </c>
      <c r="L765" t="s">
        <v>1022</v>
      </c>
      <c r="M765">
        <v>8938</v>
      </c>
      <c r="N765">
        <v>544</v>
      </c>
      <c r="O765">
        <v>9482</v>
      </c>
      <c r="P765" t="s">
        <v>2883</v>
      </c>
    </row>
    <row r="766" spans="1:16" x14ac:dyDescent="0.25">
      <c r="A766" t="s">
        <v>2014</v>
      </c>
      <c r="B766" t="s">
        <v>652</v>
      </c>
      <c r="C766" s="3">
        <v>44697</v>
      </c>
      <c r="D766" t="s">
        <v>1024</v>
      </c>
      <c r="E766">
        <v>29.99</v>
      </c>
      <c r="F766" t="s">
        <v>1047</v>
      </c>
      <c r="G766">
        <v>63</v>
      </c>
      <c r="H766" t="s">
        <v>2015</v>
      </c>
      <c r="I766" t="s">
        <v>1035</v>
      </c>
      <c r="J766">
        <v>1004</v>
      </c>
      <c r="K766">
        <v>8</v>
      </c>
      <c r="L766" t="s">
        <v>1022</v>
      </c>
      <c r="M766">
        <v>21931</v>
      </c>
      <c r="N766">
        <v>2213</v>
      </c>
      <c r="O766">
        <v>24144</v>
      </c>
      <c r="P766" t="s">
        <v>2883</v>
      </c>
    </row>
    <row r="767" spans="1:16" x14ac:dyDescent="0.25">
      <c r="A767" t="s">
        <v>2592</v>
      </c>
      <c r="B767" t="s">
        <v>276</v>
      </c>
      <c r="C767" s="3">
        <v>42382</v>
      </c>
      <c r="D767" t="s">
        <v>1024</v>
      </c>
      <c r="E767">
        <v>2.99</v>
      </c>
      <c r="F767" t="s">
        <v>1208</v>
      </c>
      <c r="G767">
        <v>9</v>
      </c>
      <c r="H767" t="s">
        <v>2562</v>
      </c>
      <c r="I767" t="s">
        <v>2562</v>
      </c>
      <c r="J767">
        <v>1000</v>
      </c>
      <c r="K767">
        <v>5</v>
      </c>
      <c r="L767" t="s">
        <v>2514</v>
      </c>
      <c r="M767">
        <v>74</v>
      </c>
      <c r="N767">
        <v>47</v>
      </c>
      <c r="O767">
        <v>121</v>
      </c>
      <c r="P767" t="s">
        <v>2883</v>
      </c>
    </row>
    <row r="768" spans="1:16" x14ac:dyDescent="0.25">
      <c r="A768" t="s">
        <v>2016</v>
      </c>
      <c r="B768" t="s">
        <v>608</v>
      </c>
      <c r="C768" s="3">
        <v>46094</v>
      </c>
      <c r="D768" t="s">
        <v>1024</v>
      </c>
      <c r="E768">
        <v>49.99</v>
      </c>
      <c r="F768" t="s">
        <v>1047</v>
      </c>
      <c r="G768">
        <v>201</v>
      </c>
      <c r="H768" t="s">
        <v>2017</v>
      </c>
      <c r="I768" t="s">
        <v>2017</v>
      </c>
      <c r="J768">
        <v>997</v>
      </c>
      <c r="K768">
        <v>8</v>
      </c>
      <c r="L768" t="s">
        <v>1022</v>
      </c>
      <c r="M768">
        <v>283</v>
      </c>
      <c r="N768">
        <v>54</v>
      </c>
      <c r="O768">
        <v>337</v>
      </c>
      <c r="P768" t="s">
        <v>2883</v>
      </c>
    </row>
    <row r="769" spans="1:16" x14ac:dyDescent="0.25">
      <c r="A769" t="s">
        <v>1740</v>
      </c>
      <c r="B769" t="s">
        <v>889</v>
      </c>
      <c r="C769" s="3">
        <v>42613</v>
      </c>
      <c r="D769" t="s">
        <v>1024</v>
      </c>
      <c r="E769">
        <v>19.989999999999998</v>
      </c>
      <c r="F769" t="s">
        <v>1042</v>
      </c>
      <c r="G769">
        <v>115</v>
      </c>
      <c r="H769" t="s">
        <v>1741</v>
      </c>
      <c r="I769" t="s">
        <v>1127</v>
      </c>
      <c r="J769">
        <v>991</v>
      </c>
      <c r="K769">
        <v>8</v>
      </c>
      <c r="L769" t="s">
        <v>1022</v>
      </c>
      <c r="M769">
        <v>10244</v>
      </c>
      <c r="N769">
        <v>1334</v>
      </c>
      <c r="O769">
        <v>11578</v>
      </c>
      <c r="P769" t="s">
        <v>2883</v>
      </c>
    </row>
    <row r="770" spans="1:16" x14ac:dyDescent="0.25">
      <c r="A770" t="s">
        <v>2299</v>
      </c>
      <c r="B770" t="s">
        <v>804</v>
      </c>
      <c r="C770" s="3">
        <v>44761</v>
      </c>
      <c r="D770" t="s">
        <v>1024</v>
      </c>
      <c r="E770">
        <v>29.99</v>
      </c>
      <c r="F770" t="s">
        <v>1208</v>
      </c>
      <c r="G770">
        <v>24</v>
      </c>
      <c r="H770" t="s">
        <v>2300</v>
      </c>
      <c r="I770" t="s">
        <v>2240</v>
      </c>
      <c r="J770">
        <v>987</v>
      </c>
      <c r="K770">
        <v>9</v>
      </c>
      <c r="L770" t="s">
        <v>2077</v>
      </c>
      <c r="M770">
        <v>86550</v>
      </c>
      <c r="N770">
        <v>2332</v>
      </c>
      <c r="O770">
        <v>88882</v>
      </c>
      <c r="P770" t="s">
        <v>2883</v>
      </c>
    </row>
    <row r="771" spans="1:16" x14ac:dyDescent="0.25">
      <c r="A771" t="s">
        <v>2021</v>
      </c>
      <c r="B771" t="s">
        <v>147</v>
      </c>
      <c r="C771" s="3">
        <v>45926</v>
      </c>
      <c r="D771" t="s">
        <v>1024</v>
      </c>
      <c r="E771">
        <v>9.99</v>
      </c>
      <c r="F771" t="s">
        <v>1047</v>
      </c>
      <c r="G771">
        <v>30</v>
      </c>
      <c r="H771" t="s">
        <v>2022</v>
      </c>
      <c r="I771" t="s">
        <v>2023</v>
      </c>
      <c r="J771">
        <v>985</v>
      </c>
      <c r="K771">
        <v>8</v>
      </c>
      <c r="L771" t="s">
        <v>1022</v>
      </c>
      <c r="M771">
        <v>11582</v>
      </c>
      <c r="N771">
        <v>1260</v>
      </c>
      <c r="O771">
        <v>12842</v>
      </c>
      <c r="P771" t="s">
        <v>2883</v>
      </c>
    </row>
    <row r="772" spans="1:16" x14ac:dyDescent="0.25">
      <c r="A772" t="s">
        <v>1534</v>
      </c>
      <c r="B772" t="s">
        <v>128</v>
      </c>
      <c r="C772" s="3">
        <v>42944</v>
      </c>
      <c r="D772" t="s">
        <v>1024</v>
      </c>
      <c r="E772">
        <v>19.989999999999998</v>
      </c>
      <c r="F772" t="s">
        <v>1110</v>
      </c>
      <c r="G772">
        <v>60</v>
      </c>
      <c r="H772" t="s">
        <v>1535</v>
      </c>
      <c r="I772" t="s">
        <v>1264</v>
      </c>
      <c r="J772">
        <v>981</v>
      </c>
      <c r="K772">
        <v>8</v>
      </c>
      <c r="L772" t="s">
        <v>1022</v>
      </c>
      <c r="M772">
        <v>21719</v>
      </c>
      <c r="N772">
        <v>2494</v>
      </c>
      <c r="O772">
        <v>24213</v>
      </c>
      <c r="P772" t="s">
        <v>2883</v>
      </c>
    </row>
    <row r="773" spans="1:16" x14ac:dyDescent="0.25">
      <c r="A773" t="s">
        <v>2301</v>
      </c>
      <c r="B773" t="s">
        <v>62</v>
      </c>
      <c r="C773" s="3">
        <v>45945</v>
      </c>
      <c r="D773" t="s">
        <v>1024</v>
      </c>
      <c r="E773">
        <v>14.99</v>
      </c>
      <c r="F773" t="s">
        <v>1208</v>
      </c>
      <c r="G773">
        <v>63</v>
      </c>
      <c r="H773" t="s">
        <v>2302</v>
      </c>
      <c r="I773" t="s">
        <v>1598</v>
      </c>
      <c r="J773">
        <v>980</v>
      </c>
      <c r="K773">
        <v>9</v>
      </c>
      <c r="L773" t="s">
        <v>2077</v>
      </c>
      <c r="M773">
        <v>15191</v>
      </c>
      <c r="N773">
        <v>669</v>
      </c>
      <c r="O773">
        <v>15860</v>
      </c>
      <c r="P773" t="s">
        <v>2883</v>
      </c>
    </row>
    <row r="774" spans="1:16" x14ac:dyDescent="0.25">
      <c r="A774" t="s">
        <v>2024</v>
      </c>
      <c r="B774" t="s">
        <v>934</v>
      </c>
      <c r="C774" s="3">
        <v>46133</v>
      </c>
      <c r="D774" t="s">
        <v>1024</v>
      </c>
      <c r="E774">
        <v>9.99</v>
      </c>
      <c r="F774" t="s">
        <v>1047</v>
      </c>
      <c r="G774">
        <v>161</v>
      </c>
      <c r="H774" t="s">
        <v>2025</v>
      </c>
      <c r="I774" t="s">
        <v>2025</v>
      </c>
      <c r="J774">
        <v>975</v>
      </c>
      <c r="K774">
        <v>8</v>
      </c>
      <c r="L774" t="s">
        <v>1022</v>
      </c>
      <c r="M774">
        <v>7878</v>
      </c>
      <c r="N774">
        <v>416</v>
      </c>
      <c r="O774">
        <v>8294</v>
      </c>
      <c r="P774" t="s">
        <v>2883</v>
      </c>
    </row>
    <row r="775" spans="1:16" x14ac:dyDescent="0.25">
      <c r="A775" t="s">
        <v>2840</v>
      </c>
      <c r="B775" t="s">
        <v>558</v>
      </c>
      <c r="C775" s="3">
        <v>45946</v>
      </c>
      <c r="D775" t="s">
        <v>1019</v>
      </c>
      <c r="F775" t="s">
        <v>1020</v>
      </c>
      <c r="H775" t="s">
        <v>2841</v>
      </c>
      <c r="I775" t="s">
        <v>2841</v>
      </c>
      <c r="J775">
        <v>973</v>
      </c>
      <c r="K775">
        <v>5</v>
      </c>
      <c r="L775" t="s">
        <v>2514</v>
      </c>
      <c r="M775">
        <v>122</v>
      </c>
      <c r="N775">
        <v>102</v>
      </c>
      <c r="O775">
        <v>224</v>
      </c>
      <c r="P775" t="s">
        <v>2882</v>
      </c>
    </row>
    <row r="776" spans="1:16" x14ac:dyDescent="0.25">
      <c r="A776" t="s">
        <v>2018</v>
      </c>
      <c r="B776" t="s">
        <v>294</v>
      </c>
      <c r="C776" s="3">
        <v>45496</v>
      </c>
      <c r="D776" t="s">
        <v>1024</v>
      </c>
      <c r="E776">
        <v>44.99</v>
      </c>
      <c r="F776" t="s">
        <v>1047</v>
      </c>
      <c r="G776">
        <v>30</v>
      </c>
      <c r="H776" t="s">
        <v>1915</v>
      </c>
      <c r="I776" t="s">
        <v>1915</v>
      </c>
      <c r="J776">
        <v>971</v>
      </c>
      <c r="K776">
        <v>8</v>
      </c>
      <c r="L776" t="s">
        <v>1022</v>
      </c>
      <c r="M776">
        <v>2278</v>
      </c>
      <c r="N776">
        <v>531</v>
      </c>
      <c r="O776">
        <v>2809</v>
      </c>
      <c r="P776" t="s">
        <v>2883</v>
      </c>
    </row>
    <row r="777" spans="1:16" x14ac:dyDescent="0.25">
      <c r="A777" t="s">
        <v>2464</v>
      </c>
      <c r="B777" t="s">
        <v>188</v>
      </c>
      <c r="C777" s="3">
        <v>45054</v>
      </c>
      <c r="D777" t="s">
        <v>1024</v>
      </c>
      <c r="E777">
        <v>39.99</v>
      </c>
      <c r="F777" t="s">
        <v>1047</v>
      </c>
      <c r="G777">
        <v>121</v>
      </c>
      <c r="H777" t="s">
        <v>1954</v>
      </c>
      <c r="I777" t="s">
        <v>1954</v>
      </c>
      <c r="J777">
        <v>970</v>
      </c>
      <c r="K777">
        <v>6</v>
      </c>
      <c r="L777" t="s">
        <v>2338</v>
      </c>
      <c r="M777">
        <v>9877</v>
      </c>
      <c r="N777">
        <v>3125</v>
      </c>
      <c r="O777">
        <v>13002</v>
      </c>
      <c r="P777" t="s">
        <v>2883</v>
      </c>
    </row>
    <row r="778" spans="1:16" x14ac:dyDescent="0.25">
      <c r="A778" t="s">
        <v>1536</v>
      </c>
      <c r="B778" t="s">
        <v>817</v>
      </c>
      <c r="C778" s="3">
        <v>44995</v>
      </c>
      <c r="D778" t="s">
        <v>1024</v>
      </c>
      <c r="E778">
        <v>24.99</v>
      </c>
      <c r="F778" t="s">
        <v>1110</v>
      </c>
      <c r="G778">
        <v>190</v>
      </c>
      <c r="H778" t="s">
        <v>1537</v>
      </c>
      <c r="I778" t="s">
        <v>1537</v>
      </c>
      <c r="J778">
        <v>968</v>
      </c>
      <c r="K778">
        <v>8</v>
      </c>
      <c r="L778" t="s">
        <v>1022</v>
      </c>
      <c r="M778">
        <v>13053</v>
      </c>
      <c r="N778">
        <v>2451</v>
      </c>
      <c r="O778">
        <v>15504</v>
      </c>
      <c r="P778" t="s">
        <v>2883</v>
      </c>
    </row>
    <row r="779" spans="1:16" x14ac:dyDescent="0.25">
      <c r="A779" t="s">
        <v>1174</v>
      </c>
      <c r="B779" t="s">
        <v>699</v>
      </c>
      <c r="C779" s="3">
        <v>45573</v>
      </c>
      <c r="D779" t="s">
        <v>1019</v>
      </c>
      <c r="F779" t="s">
        <v>1020</v>
      </c>
      <c r="H779" t="s">
        <v>1175</v>
      </c>
      <c r="I779" t="s">
        <v>1175</v>
      </c>
      <c r="J779">
        <v>967</v>
      </c>
      <c r="K779">
        <v>8</v>
      </c>
      <c r="L779" t="s">
        <v>1022</v>
      </c>
      <c r="M779">
        <v>3097</v>
      </c>
      <c r="N779">
        <v>203</v>
      </c>
      <c r="O779">
        <v>3300</v>
      </c>
      <c r="P779" t="s">
        <v>2882</v>
      </c>
    </row>
    <row r="780" spans="1:16" x14ac:dyDescent="0.25">
      <c r="A780" t="s">
        <v>1533</v>
      </c>
      <c r="B780" t="s">
        <v>512</v>
      </c>
      <c r="C780" s="3">
        <v>44883</v>
      </c>
      <c r="D780" t="s">
        <v>1024</v>
      </c>
      <c r="E780">
        <v>49.99</v>
      </c>
      <c r="F780" t="s">
        <v>1113</v>
      </c>
      <c r="G780">
        <v>50</v>
      </c>
      <c r="H780" t="s">
        <v>1339</v>
      </c>
      <c r="I780" t="s">
        <v>1223</v>
      </c>
      <c r="J780">
        <v>960</v>
      </c>
      <c r="K780">
        <v>8</v>
      </c>
      <c r="L780" t="s">
        <v>1022</v>
      </c>
      <c r="M780">
        <v>25785</v>
      </c>
      <c r="N780">
        <v>1749</v>
      </c>
      <c r="O780">
        <v>27534</v>
      </c>
      <c r="P780" t="s">
        <v>2883</v>
      </c>
    </row>
    <row r="781" spans="1:16" x14ac:dyDescent="0.25">
      <c r="A781" t="s">
        <v>1541</v>
      </c>
      <c r="B781" t="s">
        <v>38</v>
      </c>
      <c r="C781" s="3">
        <v>45463</v>
      </c>
      <c r="D781" t="s">
        <v>1024</v>
      </c>
      <c r="E781">
        <v>24.99</v>
      </c>
      <c r="F781" t="s">
        <v>1026</v>
      </c>
      <c r="G781">
        <v>39</v>
      </c>
      <c r="H781" t="s">
        <v>1542</v>
      </c>
      <c r="I781" t="s">
        <v>1543</v>
      </c>
      <c r="J781">
        <v>960</v>
      </c>
      <c r="K781">
        <v>8</v>
      </c>
      <c r="L781" t="s">
        <v>1022</v>
      </c>
      <c r="M781">
        <v>5077</v>
      </c>
      <c r="N781">
        <v>1259</v>
      </c>
      <c r="O781">
        <v>6336</v>
      </c>
      <c r="P781" t="s">
        <v>2883</v>
      </c>
    </row>
    <row r="782" spans="1:16" x14ac:dyDescent="0.25">
      <c r="A782" t="s">
        <v>2303</v>
      </c>
      <c r="B782" t="s">
        <v>661</v>
      </c>
      <c r="C782" s="3">
        <v>46128</v>
      </c>
      <c r="D782" t="s">
        <v>1024</v>
      </c>
      <c r="E782">
        <v>59.99</v>
      </c>
      <c r="F782" t="s">
        <v>1113</v>
      </c>
      <c r="G782">
        <v>35</v>
      </c>
      <c r="H782" t="s">
        <v>1233</v>
      </c>
      <c r="I782" t="s">
        <v>1233</v>
      </c>
      <c r="J782">
        <v>960</v>
      </c>
      <c r="K782">
        <v>9</v>
      </c>
      <c r="L782" t="s">
        <v>2077</v>
      </c>
      <c r="M782">
        <v>21081</v>
      </c>
      <c r="N782">
        <v>607</v>
      </c>
      <c r="O782">
        <v>21688</v>
      </c>
      <c r="P782" t="s">
        <v>2883</v>
      </c>
    </row>
    <row r="783" spans="1:16" x14ac:dyDescent="0.25">
      <c r="A783" t="s">
        <v>2844</v>
      </c>
      <c r="B783" t="s">
        <v>919</v>
      </c>
      <c r="C783" s="3">
        <v>42194</v>
      </c>
      <c r="D783" t="s">
        <v>1019</v>
      </c>
      <c r="F783" t="s">
        <v>1020</v>
      </c>
      <c r="G783">
        <v>19</v>
      </c>
      <c r="H783" t="s">
        <v>2845</v>
      </c>
      <c r="I783" t="s">
        <v>2845</v>
      </c>
      <c r="J783">
        <v>950</v>
      </c>
      <c r="K783">
        <v>6</v>
      </c>
      <c r="L783" t="s">
        <v>2338</v>
      </c>
      <c r="M783">
        <v>32475</v>
      </c>
      <c r="N783">
        <v>9835</v>
      </c>
      <c r="O783">
        <v>42310</v>
      </c>
      <c r="P783" t="s">
        <v>2882</v>
      </c>
    </row>
    <row r="784" spans="1:16" x14ac:dyDescent="0.25">
      <c r="A784" t="s">
        <v>2846</v>
      </c>
      <c r="B784" t="s">
        <v>96</v>
      </c>
      <c r="C784" s="3">
        <v>45939</v>
      </c>
      <c r="D784" t="s">
        <v>1019</v>
      </c>
      <c r="F784" t="s">
        <v>1020</v>
      </c>
      <c r="G784">
        <v>14</v>
      </c>
      <c r="H784" t="s">
        <v>2847</v>
      </c>
      <c r="I784" t="s">
        <v>2848</v>
      </c>
      <c r="J784">
        <v>945</v>
      </c>
      <c r="K784">
        <v>5</v>
      </c>
      <c r="L784" t="s">
        <v>2514</v>
      </c>
      <c r="M784">
        <v>5539</v>
      </c>
      <c r="N784">
        <v>5812</v>
      </c>
      <c r="O784">
        <v>11351</v>
      </c>
      <c r="P784" t="s">
        <v>2882</v>
      </c>
    </row>
    <row r="785" spans="1:16" x14ac:dyDescent="0.25">
      <c r="A785" t="s">
        <v>2849</v>
      </c>
      <c r="B785" t="s">
        <v>578</v>
      </c>
      <c r="C785" s="3">
        <v>41613</v>
      </c>
      <c r="D785" t="s">
        <v>1019</v>
      </c>
      <c r="F785" t="s">
        <v>1020</v>
      </c>
      <c r="H785" t="s">
        <v>2808</v>
      </c>
      <c r="I785" t="s">
        <v>1724</v>
      </c>
      <c r="J785">
        <v>942</v>
      </c>
      <c r="K785">
        <v>6</v>
      </c>
      <c r="L785" t="s">
        <v>2338</v>
      </c>
      <c r="M785">
        <v>14109</v>
      </c>
      <c r="N785">
        <v>4770</v>
      </c>
      <c r="O785">
        <v>18879</v>
      </c>
      <c r="P785" t="s">
        <v>2882</v>
      </c>
    </row>
    <row r="786" spans="1:16" x14ac:dyDescent="0.25">
      <c r="A786" t="s">
        <v>2675</v>
      </c>
      <c r="B786" t="s">
        <v>268</v>
      </c>
      <c r="C786" s="3">
        <v>44089</v>
      </c>
      <c r="D786" t="s">
        <v>1024</v>
      </c>
      <c r="F786" t="s">
        <v>1086</v>
      </c>
      <c r="H786" t="s">
        <v>2676</v>
      </c>
      <c r="I786" t="s">
        <v>2676</v>
      </c>
      <c r="J786">
        <v>939</v>
      </c>
      <c r="K786">
        <v>6</v>
      </c>
      <c r="L786" t="s">
        <v>2338</v>
      </c>
      <c r="M786">
        <v>6460</v>
      </c>
      <c r="N786">
        <v>1690</v>
      </c>
      <c r="O786">
        <v>8150</v>
      </c>
      <c r="P786" t="s">
        <v>2883</v>
      </c>
    </row>
    <row r="787" spans="1:16" x14ac:dyDescent="0.25">
      <c r="A787" t="s">
        <v>1538</v>
      </c>
      <c r="B787" t="s">
        <v>502</v>
      </c>
      <c r="C787" s="3">
        <v>44098</v>
      </c>
      <c r="D787" t="s">
        <v>1024</v>
      </c>
      <c r="E787">
        <v>39.99</v>
      </c>
      <c r="F787" t="s">
        <v>1113</v>
      </c>
      <c r="G787">
        <v>43</v>
      </c>
      <c r="H787" t="s">
        <v>1539</v>
      </c>
      <c r="I787" t="s">
        <v>1123</v>
      </c>
      <c r="J787">
        <v>933</v>
      </c>
      <c r="K787">
        <v>8</v>
      </c>
      <c r="L787" t="s">
        <v>1022</v>
      </c>
      <c r="M787">
        <v>31100</v>
      </c>
      <c r="N787">
        <v>4576</v>
      </c>
      <c r="O787">
        <v>35676</v>
      </c>
      <c r="P787" t="s">
        <v>2883</v>
      </c>
    </row>
    <row r="788" spans="1:16" x14ac:dyDescent="0.25">
      <c r="A788" t="s">
        <v>2593</v>
      </c>
      <c r="B788" t="s">
        <v>852</v>
      </c>
      <c r="C788" s="3">
        <v>45559</v>
      </c>
      <c r="D788" t="s">
        <v>1024</v>
      </c>
      <c r="E788">
        <v>29.99</v>
      </c>
      <c r="F788" t="s">
        <v>1026</v>
      </c>
      <c r="H788" t="s">
        <v>2594</v>
      </c>
      <c r="I788" t="s">
        <v>2594</v>
      </c>
      <c r="J788">
        <v>932</v>
      </c>
      <c r="K788">
        <v>5</v>
      </c>
      <c r="L788" t="s">
        <v>2514</v>
      </c>
      <c r="M788">
        <v>12436</v>
      </c>
      <c r="N788">
        <v>5587</v>
      </c>
      <c r="O788">
        <v>18023</v>
      </c>
      <c r="P788" t="s">
        <v>2883</v>
      </c>
    </row>
    <row r="789" spans="1:16" x14ac:dyDescent="0.25">
      <c r="A789" t="s">
        <v>1540</v>
      </c>
      <c r="B789" t="s">
        <v>761</v>
      </c>
      <c r="C789" s="3">
        <v>42779</v>
      </c>
      <c r="D789" t="s">
        <v>1024</v>
      </c>
      <c r="E789">
        <v>59.99</v>
      </c>
      <c r="F789" t="s">
        <v>1113</v>
      </c>
      <c r="G789">
        <v>85</v>
      </c>
      <c r="H789" t="s">
        <v>1430</v>
      </c>
      <c r="I789" t="s">
        <v>1430</v>
      </c>
      <c r="J789">
        <v>929</v>
      </c>
      <c r="K789">
        <v>8</v>
      </c>
      <c r="L789" t="s">
        <v>1022</v>
      </c>
      <c r="M789">
        <v>17430</v>
      </c>
      <c r="N789">
        <v>1756</v>
      </c>
      <c r="O789">
        <v>19186</v>
      </c>
      <c r="P789" t="s">
        <v>2883</v>
      </c>
    </row>
    <row r="790" spans="1:16" x14ac:dyDescent="0.25">
      <c r="A790" t="s">
        <v>1544</v>
      </c>
      <c r="B790" t="s">
        <v>458</v>
      </c>
      <c r="C790" s="3">
        <v>42338</v>
      </c>
      <c r="D790" t="s">
        <v>1024</v>
      </c>
      <c r="E790">
        <v>19.989999999999998</v>
      </c>
      <c r="F790" t="s">
        <v>1113</v>
      </c>
      <c r="G790">
        <v>66</v>
      </c>
      <c r="H790" t="s">
        <v>1300</v>
      </c>
      <c r="I790" t="s">
        <v>1043</v>
      </c>
      <c r="J790">
        <v>929</v>
      </c>
      <c r="K790">
        <v>8</v>
      </c>
      <c r="L790" t="s">
        <v>1022</v>
      </c>
      <c r="M790">
        <v>49387</v>
      </c>
      <c r="N790">
        <v>8592</v>
      </c>
      <c r="O790">
        <v>57979</v>
      </c>
      <c r="P790" t="s">
        <v>2883</v>
      </c>
    </row>
    <row r="791" spans="1:16" x14ac:dyDescent="0.25">
      <c r="A791" t="s">
        <v>1176</v>
      </c>
      <c r="B791" t="s">
        <v>235</v>
      </c>
      <c r="C791" s="3">
        <v>43636</v>
      </c>
      <c r="D791" t="s">
        <v>1019</v>
      </c>
      <c r="F791" t="s">
        <v>1020</v>
      </c>
      <c r="H791" t="s">
        <v>1021</v>
      </c>
      <c r="I791" t="s">
        <v>1021</v>
      </c>
      <c r="J791">
        <v>923</v>
      </c>
      <c r="K791">
        <v>8</v>
      </c>
      <c r="L791" t="s">
        <v>1022</v>
      </c>
      <c r="M791">
        <v>28224</v>
      </c>
      <c r="N791">
        <v>5290</v>
      </c>
      <c r="O791">
        <v>33514</v>
      </c>
      <c r="P791" t="s">
        <v>2882</v>
      </c>
    </row>
    <row r="792" spans="1:16" x14ac:dyDescent="0.25">
      <c r="A792" t="s">
        <v>2026</v>
      </c>
      <c r="B792" t="s">
        <v>14</v>
      </c>
      <c r="C792" s="3">
        <v>41767</v>
      </c>
      <c r="D792" t="s">
        <v>1024</v>
      </c>
      <c r="E792">
        <v>29.99</v>
      </c>
      <c r="F792" t="s">
        <v>1047</v>
      </c>
      <c r="G792">
        <v>70</v>
      </c>
      <c r="H792" t="s">
        <v>2027</v>
      </c>
      <c r="I792" t="s">
        <v>1106</v>
      </c>
      <c r="J792">
        <v>917</v>
      </c>
      <c r="K792">
        <v>8</v>
      </c>
      <c r="L792" t="s">
        <v>1022</v>
      </c>
      <c r="M792">
        <v>14867</v>
      </c>
      <c r="N792">
        <v>1348</v>
      </c>
      <c r="O792">
        <v>16215</v>
      </c>
      <c r="P792" t="s">
        <v>2883</v>
      </c>
    </row>
    <row r="793" spans="1:16" x14ac:dyDescent="0.25">
      <c r="A793" t="s">
        <v>1180</v>
      </c>
      <c r="B793" t="s">
        <v>881</v>
      </c>
      <c r="C793" s="3">
        <v>39710</v>
      </c>
      <c r="D793" t="s">
        <v>1024</v>
      </c>
      <c r="E793">
        <v>9.99</v>
      </c>
      <c r="F793" t="s">
        <v>1042</v>
      </c>
      <c r="H793" t="s">
        <v>1181</v>
      </c>
      <c r="I793" t="s">
        <v>1181</v>
      </c>
      <c r="J793">
        <v>902</v>
      </c>
      <c r="K793">
        <v>8</v>
      </c>
      <c r="L793" t="s">
        <v>1022</v>
      </c>
      <c r="M793">
        <v>24571</v>
      </c>
      <c r="N793">
        <v>4035</v>
      </c>
      <c r="O793">
        <v>28606</v>
      </c>
      <c r="P793" t="s">
        <v>2883</v>
      </c>
    </row>
    <row r="794" spans="1:16" x14ac:dyDescent="0.25">
      <c r="A794" t="s">
        <v>2028</v>
      </c>
      <c r="B794" t="s">
        <v>152</v>
      </c>
      <c r="C794" s="3">
        <v>43987</v>
      </c>
      <c r="D794" t="s">
        <v>1024</v>
      </c>
      <c r="E794">
        <v>19.989999999999998</v>
      </c>
      <c r="F794" t="s">
        <v>1047</v>
      </c>
      <c r="G794">
        <v>33</v>
      </c>
      <c r="H794" t="s">
        <v>2029</v>
      </c>
      <c r="I794" t="s">
        <v>1035</v>
      </c>
      <c r="J794">
        <v>898</v>
      </c>
      <c r="K794">
        <v>8</v>
      </c>
      <c r="L794" t="s">
        <v>1022</v>
      </c>
      <c r="M794">
        <v>18239</v>
      </c>
      <c r="N794">
        <v>1629</v>
      </c>
      <c r="O794">
        <v>19868</v>
      </c>
      <c r="P794" t="s">
        <v>2883</v>
      </c>
    </row>
    <row r="795" spans="1:16" x14ac:dyDescent="0.25">
      <c r="A795" t="s">
        <v>2461</v>
      </c>
      <c r="B795" t="s">
        <v>707</v>
      </c>
      <c r="C795" s="3">
        <v>46181</v>
      </c>
      <c r="D795" t="s">
        <v>1024</v>
      </c>
      <c r="E795">
        <v>18</v>
      </c>
      <c r="F795" t="s">
        <v>1110</v>
      </c>
      <c r="G795">
        <v>57</v>
      </c>
      <c r="H795" t="s">
        <v>2323</v>
      </c>
      <c r="I795" t="s">
        <v>2323</v>
      </c>
      <c r="J795">
        <v>886</v>
      </c>
      <c r="K795">
        <v>6</v>
      </c>
      <c r="L795" t="s">
        <v>2338</v>
      </c>
      <c r="M795">
        <v>320</v>
      </c>
      <c r="N795">
        <v>97</v>
      </c>
      <c r="O795">
        <v>417</v>
      </c>
      <c r="P795" t="s">
        <v>2883</v>
      </c>
    </row>
    <row r="796" spans="1:16" x14ac:dyDescent="0.25">
      <c r="A796" t="s">
        <v>1743</v>
      </c>
      <c r="B796" t="s">
        <v>849</v>
      </c>
      <c r="C796" s="3">
        <v>45743</v>
      </c>
      <c r="D796" t="s">
        <v>1024</v>
      </c>
      <c r="E796">
        <v>59.99</v>
      </c>
      <c r="F796" t="s">
        <v>1042</v>
      </c>
      <c r="G796">
        <v>57</v>
      </c>
      <c r="H796" t="s">
        <v>1744</v>
      </c>
      <c r="I796" t="s">
        <v>1745</v>
      </c>
      <c r="J796">
        <v>882</v>
      </c>
      <c r="K796">
        <v>8</v>
      </c>
      <c r="L796" t="s">
        <v>1022</v>
      </c>
      <c r="M796">
        <v>12929</v>
      </c>
      <c r="N796">
        <v>948</v>
      </c>
      <c r="O796">
        <v>13877</v>
      </c>
      <c r="P796" t="s">
        <v>2883</v>
      </c>
    </row>
    <row r="797" spans="1:16" x14ac:dyDescent="0.25">
      <c r="A797" t="s">
        <v>1545</v>
      </c>
      <c r="B797" t="s">
        <v>220</v>
      </c>
      <c r="C797" s="3">
        <v>45769</v>
      </c>
      <c r="D797" t="s">
        <v>1024</v>
      </c>
      <c r="E797">
        <v>19.989999999999998</v>
      </c>
      <c r="F797" t="s">
        <v>1110</v>
      </c>
      <c r="G797">
        <v>25</v>
      </c>
      <c r="H797" t="s">
        <v>1546</v>
      </c>
      <c r="I797" t="s">
        <v>1547</v>
      </c>
      <c r="J797">
        <v>881</v>
      </c>
      <c r="K797">
        <v>8</v>
      </c>
      <c r="L797" t="s">
        <v>1022</v>
      </c>
      <c r="M797">
        <v>17312</v>
      </c>
      <c r="N797">
        <v>1279</v>
      </c>
      <c r="O797">
        <v>18591</v>
      </c>
      <c r="P797" t="s">
        <v>2883</v>
      </c>
    </row>
    <row r="798" spans="1:16" x14ac:dyDescent="0.25">
      <c r="A798" t="s">
        <v>2030</v>
      </c>
      <c r="B798" t="s">
        <v>456</v>
      </c>
      <c r="C798" s="3">
        <v>44509</v>
      </c>
      <c r="D798" t="s">
        <v>1024</v>
      </c>
      <c r="E798">
        <v>69.989999999999995</v>
      </c>
      <c r="F798" t="s">
        <v>1047</v>
      </c>
      <c r="G798">
        <v>54</v>
      </c>
      <c r="H798" t="s">
        <v>1915</v>
      </c>
      <c r="I798" t="s">
        <v>1915</v>
      </c>
      <c r="J798">
        <v>876</v>
      </c>
      <c r="K798">
        <v>8</v>
      </c>
      <c r="L798" t="s">
        <v>1022</v>
      </c>
      <c r="M798">
        <v>21167</v>
      </c>
      <c r="N798">
        <v>2234</v>
      </c>
      <c r="O798">
        <v>23401</v>
      </c>
      <c r="P798" t="s">
        <v>2883</v>
      </c>
    </row>
    <row r="799" spans="1:16" x14ac:dyDescent="0.25">
      <c r="A799" t="s">
        <v>1742</v>
      </c>
      <c r="B799" t="s">
        <v>581</v>
      </c>
      <c r="C799" s="3">
        <v>42811</v>
      </c>
      <c r="D799" t="s">
        <v>1024</v>
      </c>
      <c r="E799">
        <v>39.99</v>
      </c>
      <c r="F799" t="s">
        <v>1042</v>
      </c>
      <c r="G799">
        <v>47</v>
      </c>
      <c r="H799" t="s">
        <v>1043</v>
      </c>
      <c r="I799" t="s">
        <v>1043</v>
      </c>
      <c r="J799">
        <v>873</v>
      </c>
      <c r="K799">
        <v>8</v>
      </c>
      <c r="L799" t="s">
        <v>1022</v>
      </c>
      <c r="M799">
        <v>57618</v>
      </c>
      <c r="N799">
        <v>6368</v>
      </c>
      <c r="O799">
        <v>63986</v>
      </c>
      <c r="P799" t="s">
        <v>2883</v>
      </c>
    </row>
    <row r="800" spans="1:16" x14ac:dyDescent="0.25">
      <c r="A800" t="s">
        <v>2467</v>
      </c>
      <c r="B800" t="s">
        <v>205</v>
      </c>
      <c r="C800" s="3">
        <v>46162</v>
      </c>
      <c r="D800" t="s">
        <v>1024</v>
      </c>
      <c r="E800">
        <v>29.99</v>
      </c>
      <c r="F800" t="s">
        <v>1026</v>
      </c>
      <c r="G800">
        <v>23</v>
      </c>
      <c r="H800" t="s">
        <v>2151</v>
      </c>
      <c r="I800" t="s">
        <v>1470</v>
      </c>
      <c r="J800">
        <v>873</v>
      </c>
      <c r="K800">
        <v>6</v>
      </c>
      <c r="L800" t="s">
        <v>2338</v>
      </c>
      <c r="M800">
        <v>5404</v>
      </c>
      <c r="N800">
        <v>2223</v>
      </c>
      <c r="O800">
        <v>7627</v>
      </c>
      <c r="P800" t="s">
        <v>2883</v>
      </c>
    </row>
    <row r="801" spans="1:16" x14ac:dyDescent="0.25">
      <c r="A801" t="s">
        <v>2019</v>
      </c>
      <c r="B801" t="s">
        <v>995</v>
      </c>
      <c r="C801" s="3">
        <v>44938</v>
      </c>
      <c r="D801" t="s">
        <v>1024</v>
      </c>
      <c r="E801">
        <v>14.99</v>
      </c>
      <c r="F801" t="s">
        <v>1047</v>
      </c>
      <c r="G801">
        <v>68</v>
      </c>
      <c r="H801" t="s">
        <v>2020</v>
      </c>
      <c r="I801" t="s">
        <v>2020</v>
      </c>
      <c r="J801">
        <v>868</v>
      </c>
      <c r="K801">
        <v>8</v>
      </c>
      <c r="L801" t="s">
        <v>1022</v>
      </c>
      <c r="M801">
        <v>385</v>
      </c>
      <c r="N801">
        <v>21</v>
      </c>
      <c r="O801">
        <v>406</v>
      </c>
      <c r="P801" t="s">
        <v>2883</v>
      </c>
    </row>
    <row r="802" spans="1:16" x14ac:dyDescent="0.25">
      <c r="A802" t="s">
        <v>2465</v>
      </c>
      <c r="B802" t="s">
        <v>627</v>
      </c>
      <c r="C802" s="3">
        <v>43368</v>
      </c>
      <c r="D802" t="s">
        <v>1024</v>
      </c>
      <c r="E802">
        <v>19.989999999999998</v>
      </c>
      <c r="F802" t="s">
        <v>1042</v>
      </c>
      <c r="G802">
        <v>74</v>
      </c>
      <c r="H802" t="s">
        <v>1910</v>
      </c>
      <c r="I802" t="s">
        <v>2466</v>
      </c>
      <c r="J802">
        <v>865</v>
      </c>
      <c r="K802">
        <v>6</v>
      </c>
      <c r="L802" t="s">
        <v>2338</v>
      </c>
      <c r="M802">
        <v>16962</v>
      </c>
      <c r="N802">
        <v>5229</v>
      </c>
      <c r="O802">
        <v>22191</v>
      </c>
      <c r="P802" t="s">
        <v>2883</v>
      </c>
    </row>
    <row r="803" spans="1:16" x14ac:dyDescent="0.25">
      <c r="A803" t="s">
        <v>1746</v>
      </c>
      <c r="B803" t="s">
        <v>740</v>
      </c>
      <c r="C803" s="3">
        <v>45456</v>
      </c>
      <c r="D803" t="s">
        <v>1024</v>
      </c>
      <c r="E803">
        <v>59.99</v>
      </c>
      <c r="F803" t="s">
        <v>1042</v>
      </c>
      <c r="G803">
        <v>48</v>
      </c>
      <c r="H803" t="s">
        <v>1717</v>
      </c>
      <c r="I803" t="s">
        <v>1555</v>
      </c>
      <c r="J803">
        <v>862</v>
      </c>
      <c r="K803">
        <v>8</v>
      </c>
      <c r="L803" t="s">
        <v>1022</v>
      </c>
      <c r="M803">
        <v>5038</v>
      </c>
      <c r="N803">
        <v>283</v>
      </c>
      <c r="O803">
        <v>5321</v>
      </c>
      <c r="P803" t="s">
        <v>2883</v>
      </c>
    </row>
    <row r="804" spans="1:16" x14ac:dyDescent="0.25">
      <c r="A804" t="s">
        <v>2852</v>
      </c>
      <c r="B804" t="s">
        <v>452</v>
      </c>
      <c r="C804" s="3">
        <v>46188</v>
      </c>
      <c r="D804" t="s">
        <v>1019</v>
      </c>
      <c r="F804" t="s">
        <v>1020</v>
      </c>
      <c r="H804" t="s">
        <v>2853</v>
      </c>
      <c r="I804" t="s">
        <v>2853</v>
      </c>
      <c r="J804">
        <v>859</v>
      </c>
      <c r="K804">
        <v>9</v>
      </c>
      <c r="L804" t="s">
        <v>2077</v>
      </c>
      <c r="M804">
        <v>3782</v>
      </c>
      <c r="N804">
        <v>30</v>
      </c>
      <c r="O804">
        <v>3812</v>
      </c>
      <c r="P804" t="s">
        <v>2882</v>
      </c>
    </row>
    <row r="805" spans="1:16" x14ac:dyDescent="0.25">
      <c r="A805" t="s">
        <v>1883</v>
      </c>
      <c r="B805" t="s">
        <v>428</v>
      </c>
      <c r="C805" s="3">
        <v>44050</v>
      </c>
      <c r="D805" t="s">
        <v>1024</v>
      </c>
      <c r="F805" t="s">
        <v>1042</v>
      </c>
      <c r="G805">
        <v>79</v>
      </c>
      <c r="H805" t="s">
        <v>1701</v>
      </c>
      <c r="I805" t="s">
        <v>1223</v>
      </c>
      <c r="J805">
        <v>847</v>
      </c>
      <c r="K805">
        <v>8</v>
      </c>
      <c r="L805" t="s">
        <v>1022</v>
      </c>
      <c r="M805">
        <v>58971</v>
      </c>
      <c r="N805">
        <v>6950</v>
      </c>
      <c r="O805">
        <v>65921</v>
      </c>
      <c r="P805" t="s">
        <v>2883</v>
      </c>
    </row>
    <row r="806" spans="1:16" x14ac:dyDescent="0.25">
      <c r="A806" t="s">
        <v>2677</v>
      </c>
      <c r="B806" t="s">
        <v>245</v>
      </c>
      <c r="C806" s="3">
        <v>44587</v>
      </c>
      <c r="D806" t="s">
        <v>1024</v>
      </c>
      <c r="F806" t="s">
        <v>1208</v>
      </c>
      <c r="G806">
        <v>26</v>
      </c>
      <c r="H806" t="s">
        <v>2678</v>
      </c>
      <c r="I806" t="s">
        <v>2679</v>
      </c>
      <c r="J806">
        <v>844</v>
      </c>
      <c r="K806">
        <v>6</v>
      </c>
      <c r="L806" t="s">
        <v>2338</v>
      </c>
      <c r="M806">
        <v>1846</v>
      </c>
      <c r="N806">
        <v>753</v>
      </c>
      <c r="O806">
        <v>2599</v>
      </c>
      <c r="P806" t="s">
        <v>2883</v>
      </c>
    </row>
    <row r="807" spans="1:16" x14ac:dyDescent="0.25">
      <c r="A807" t="s">
        <v>1184</v>
      </c>
      <c r="B807" t="s">
        <v>683</v>
      </c>
      <c r="C807" s="3">
        <v>44166</v>
      </c>
      <c r="D807" t="s">
        <v>1024</v>
      </c>
      <c r="E807">
        <v>19.989999999999998</v>
      </c>
      <c r="F807" t="s">
        <v>1113</v>
      </c>
      <c r="H807" t="s">
        <v>1185</v>
      </c>
      <c r="I807" t="s">
        <v>1185</v>
      </c>
      <c r="J807">
        <v>842</v>
      </c>
      <c r="K807">
        <v>8</v>
      </c>
      <c r="L807" t="s">
        <v>1022</v>
      </c>
      <c r="M807">
        <v>29328</v>
      </c>
      <c r="N807">
        <v>6602</v>
      </c>
      <c r="O807">
        <v>35930</v>
      </c>
      <c r="P807" t="s">
        <v>2883</v>
      </c>
    </row>
    <row r="808" spans="1:16" x14ac:dyDescent="0.25">
      <c r="A808" t="s">
        <v>1550</v>
      </c>
      <c r="B808" t="s">
        <v>540</v>
      </c>
      <c r="C808" s="3">
        <v>45953</v>
      </c>
      <c r="D808" t="s">
        <v>1024</v>
      </c>
      <c r="E808">
        <v>12.99</v>
      </c>
      <c r="F808" t="s">
        <v>1110</v>
      </c>
      <c r="G808">
        <v>38</v>
      </c>
      <c r="H808" t="s">
        <v>1551</v>
      </c>
      <c r="I808" t="s">
        <v>1552</v>
      </c>
      <c r="J808">
        <v>838</v>
      </c>
      <c r="K808">
        <v>8</v>
      </c>
      <c r="L808" t="s">
        <v>1022</v>
      </c>
      <c r="M808">
        <v>7977</v>
      </c>
      <c r="N808">
        <v>1811</v>
      </c>
      <c r="O808">
        <v>9788</v>
      </c>
      <c r="P808" t="s">
        <v>2883</v>
      </c>
    </row>
    <row r="809" spans="1:16" x14ac:dyDescent="0.25">
      <c r="A809" t="s">
        <v>2595</v>
      </c>
      <c r="B809" t="s">
        <v>711</v>
      </c>
      <c r="C809" s="3">
        <v>43845</v>
      </c>
      <c r="D809" t="s">
        <v>1024</v>
      </c>
      <c r="E809">
        <v>59.99</v>
      </c>
      <c r="F809" t="s">
        <v>1110</v>
      </c>
      <c r="G809">
        <v>47</v>
      </c>
      <c r="H809" t="s">
        <v>1590</v>
      </c>
      <c r="I809" t="s">
        <v>1590</v>
      </c>
      <c r="J809">
        <v>831</v>
      </c>
      <c r="K809">
        <v>5</v>
      </c>
      <c r="L809" t="s">
        <v>2514</v>
      </c>
      <c r="M809">
        <v>466</v>
      </c>
      <c r="N809">
        <v>255</v>
      </c>
      <c r="O809">
        <v>721</v>
      </c>
      <c r="P809" t="s">
        <v>2883</v>
      </c>
    </row>
    <row r="810" spans="1:16" x14ac:dyDescent="0.25">
      <c r="A810" t="s">
        <v>1177</v>
      </c>
      <c r="B810" t="s">
        <v>170</v>
      </c>
      <c r="C810" s="3">
        <v>44498</v>
      </c>
      <c r="D810" t="s">
        <v>1019</v>
      </c>
      <c r="F810" t="s">
        <v>1178</v>
      </c>
      <c r="H810" t="s">
        <v>1179</v>
      </c>
      <c r="I810" t="s">
        <v>1179</v>
      </c>
      <c r="J810">
        <v>829</v>
      </c>
      <c r="K810">
        <v>8</v>
      </c>
      <c r="L810" t="s">
        <v>1022</v>
      </c>
      <c r="M810">
        <v>76318</v>
      </c>
      <c r="N810">
        <v>6798</v>
      </c>
      <c r="O810">
        <v>83116</v>
      </c>
      <c r="P810" t="s">
        <v>2882</v>
      </c>
    </row>
    <row r="811" spans="1:16" x14ac:dyDescent="0.25">
      <c r="A811" t="s">
        <v>1556</v>
      </c>
      <c r="B811" t="s">
        <v>223</v>
      </c>
      <c r="C811" s="3">
        <v>42685</v>
      </c>
      <c r="D811" t="s">
        <v>1024</v>
      </c>
      <c r="E811">
        <v>29.99</v>
      </c>
      <c r="F811" t="s">
        <v>1189</v>
      </c>
      <c r="G811">
        <v>50</v>
      </c>
      <c r="H811" t="s">
        <v>1557</v>
      </c>
      <c r="I811" t="s">
        <v>1051</v>
      </c>
      <c r="J811">
        <v>825</v>
      </c>
      <c r="K811">
        <v>8</v>
      </c>
      <c r="L811" t="s">
        <v>1022</v>
      </c>
      <c r="M811">
        <v>25808</v>
      </c>
      <c r="N811">
        <v>3662</v>
      </c>
      <c r="O811">
        <v>29470</v>
      </c>
      <c r="P811" t="s">
        <v>2883</v>
      </c>
    </row>
    <row r="812" spans="1:16" x14ac:dyDescent="0.25">
      <c r="A812" t="s">
        <v>2468</v>
      </c>
      <c r="B812" t="s">
        <v>354</v>
      </c>
      <c r="C812" s="3">
        <v>45555</v>
      </c>
      <c r="D812" t="s">
        <v>1024</v>
      </c>
      <c r="E812">
        <v>44.99</v>
      </c>
      <c r="F812" t="s">
        <v>1047</v>
      </c>
      <c r="G812">
        <v>79</v>
      </c>
      <c r="H812" t="s">
        <v>1396</v>
      </c>
      <c r="I812" t="s">
        <v>1396</v>
      </c>
      <c r="J812">
        <v>817</v>
      </c>
      <c r="K812">
        <v>6</v>
      </c>
      <c r="L812" t="s">
        <v>2338</v>
      </c>
      <c r="M812">
        <v>9055</v>
      </c>
      <c r="N812">
        <v>2458</v>
      </c>
      <c r="O812">
        <v>11513</v>
      </c>
      <c r="P812" t="s">
        <v>2883</v>
      </c>
    </row>
    <row r="813" spans="1:16" x14ac:dyDescent="0.25">
      <c r="A813" t="s">
        <v>1560</v>
      </c>
      <c r="B813" t="s">
        <v>69</v>
      </c>
      <c r="C813" s="3">
        <v>41571</v>
      </c>
      <c r="D813" t="s">
        <v>1024</v>
      </c>
      <c r="E813">
        <v>19.989999999999998</v>
      </c>
      <c r="F813" t="s">
        <v>1113</v>
      </c>
      <c r="G813">
        <v>60</v>
      </c>
      <c r="H813" t="s">
        <v>1561</v>
      </c>
      <c r="I813" t="s">
        <v>1562</v>
      </c>
      <c r="J813">
        <v>811</v>
      </c>
      <c r="K813">
        <v>8</v>
      </c>
      <c r="L813" t="s">
        <v>1022</v>
      </c>
      <c r="M813">
        <v>27149</v>
      </c>
      <c r="N813">
        <v>3470</v>
      </c>
      <c r="O813">
        <v>30619</v>
      </c>
      <c r="P813" t="s">
        <v>2883</v>
      </c>
    </row>
    <row r="814" spans="1:16" x14ac:dyDescent="0.25">
      <c r="A814" t="s">
        <v>1182</v>
      </c>
      <c r="B814" t="s">
        <v>472</v>
      </c>
      <c r="C814" s="3">
        <v>45343</v>
      </c>
      <c r="D814" t="s">
        <v>1024</v>
      </c>
      <c r="E814">
        <v>34.99</v>
      </c>
      <c r="F814" t="s">
        <v>1042</v>
      </c>
      <c r="H814" t="s">
        <v>1183</v>
      </c>
      <c r="I814" t="s">
        <v>1183</v>
      </c>
      <c r="J814">
        <v>810</v>
      </c>
      <c r="K814">
        <v>8</v>
      </c>
      <c r="L814" t="s">
        <v>1022</v>
      </c>
      <c r="M814">
        <v>52824</v>
      </c>
      <c r="N814">
        <v>12858</v>
      </c>
      <c r="O814">
        <v>65682</v>
      </c>
      <c r="P814" t="s">
        <v>2883</v>
      </c>
    </row>
    <row r="815" spans="1:16" x14ac:dyDescent="0.25">
      <c r="A815" t="s">
        <v>1548</v>
      </c>
      <c r="B815" t="s">
        <v>835</v>
      </c>
      <c r="C815" s="3">
        <v>42887</v>
      </c>
      <c r="D815" t="s">
        <v>1024</v>
      </c>
      <c r="E815">
        <v>39.99</v>
      </c>
      <c r="F815" t="s">
        <v>1086</v>
      </c>
      <c r="G815">
        <v>42</v>
      </c>
      <c r="H815" t="s">
        <v>1549</v>
      </c>
      <c r="I815" t="s">
        <v>1324</v>
      </c>
      <c r="J815">
        <v>809</v>
      </c>
      <c r="K815">
        <v>8</v>
      </c>
      <c r="L815" t="s">
        <v>1022</v>
      </c>
      <c r="M815">
        <v>39562</v>
      </c>
      <c r="N815">
        <v>4133</v>
      </c>
      <c r="O815">
        <v>43695</v>
      </c>
      <c r="P815" t="s">
        <v>2883</v>
      </c>
    </row>
    <row r="816" spans="1:16" x14ac:dyDescent="0.25">
      <c r="A816" t="s">
        <v>1558</v>
      </c>
      <c r="B816" t="s">
        <v>241</v>
      </c>
      <c r="C816" s="3">
        <v>45575</v>
      </c>
      <c r="D816" t="s">
        <v>1024</v>
      </c>
      <c r="E816">
        <v>69.989999999999995</v>
      </c>
      <c r="F816" t="s">
        <v>1189</v>
      </c>
      <c r="G816">
        <v>50</v>
      </c>
      <c r="H816" t="s">
        <v>1559</v>
      </c>
      <c r="I816" t="s">
        <v>1324</v>
      </c>
      <c r="J816">
        <v>807</v>
      </c>
      <c r="K816">
        <v>8</v>
      </c>
      <c r="L816" t="s">
        <v>1022</v>
      </c>
      <c r="M816">
        <v>31434</v>
      </c>
      <c r="N816">
        <v>4838</v>
      </c>
      <c r="O816">
        <v>36272</v>
      </c>
      <c r="P816" t="s">
        <v>2883</v>
      </c>
    </row>
    <row r="817" spans="1:16" x14ac:dyDescent="0.25">
      <c r="A817" t="s">
        <v>2307</v>
      </c>
      <c r="B817" t="s">
        <v>398</v>
      </c>
      <c r="C817" s="3">
        <v>44517</v>
      </c>
      <c r="D817" t="s">
        <v>1024</v>
      </c>
      <c r="E817">
        <v>19.989999999999998</v>
      </c>
      <c r="F817" t="s">
        <v>1042</v>
      </c>
      <c r="G817">
        <v>134</v>
      </c>
      <c r="H817" t="s">
        <v>2308</v>
      </c>
      <c r="I817" t="s">
        <v>2309</v>
      </c>
      <c r="J817">
        <v>800</v>
      </c>
      <c r="K817">
        <v>9</v>
      </c>
      <c r="L817" t="s">
        <v>2077</v>
      </c>
      <c r="M817">
        <v>41875</v>
      </c>
      <c r="N817">
        <v>1821</v>
      </c>
      <c r="O817">
        <v>43696</v>
      </c>
      <c r="P817" t="s">
        <v>2883</v>
      </c>
    </row>
    <row r="818" spans="1:16" x14ac:dyDescent="0.25">
      <c r="A818" t="s">
        <v>2850</v>
      </c>
      <c r="B818" t="s">
        <v>517</v>
      </c>
      <c r="C818" s="3">
        <v>45839</v>
      </c>
      <c r="D818" t="s">
        <v>1019</v>
      </c>
      <c r="F818" t="s">
        <v>1020</v>
      </c>
      <c r="G818">
        <v>61</v>
      </c>
      <c r="H818" t="s">
        <v>2851</v>
      </c>
      <c r="I818" t="s">
        <v>2851</v>
      </c>
      <c r="J818">
        <v>788</v>
      </c>
      <c r="K818">
        <v>6</v>
      </c>
      <c r="L818" t="s">
        <v>2338</v>
      </c>
      <c r="M818">
        <v>8239</v>
      </c>
      <c r="N818">
        <v>3350</v>
      </c>
      <c r="O818">
        <v>11589</v>
      </c>
      <c r="P818" t="s">
        <v>2882</v>
      </c>
    </row>
    <row r="819" spans="1:16" x14ac:dyDescent="0.25">
      <c r="A819" t="s">
        <v>1568</v>
      </c>
      <c r="B819" t="s">
        <v>82</v>
      </c>
      <c r="C819" s="3">
        <v>44995</v>
      </c>
      <c r="D819" t="s">
        <v>1024</v>
      </c>
      <c r="E819">
        <v>25.99</v>
      </c>
      <c r="F819" t="s">
        <v>1026</v>
      </c>
      <c r="G819">
        <v>99</v>
      </c>
      <c r="H819" t="s">
        <v>1569</v>
      </c>
      <c r="I819" t="s">
        <v>1569</v>
      </c>
      <c r="J819">
        <v>782</v>
      </c>
      <c r="K819">
        <v>8</v>
      </c>
      <c r="L819" t="s">
        <v>1022</v>
      </c>
      <c r="M819">
        <v>5212</v>
      </c>
      <c r="N819">
        <v>457</v>
      </c>
      <c r="O819">
        <v>5669</v>
      </c>
      <c r="P819" t="s">
        <v>2883</v>
      </c>
    </row>
    <row r="820" spans="1:16" x14ac:dyDescent="0.25">
      <c r="A820" t="s">
        <v>2304</v>
      </c>
      <c r="B820" t="s">
        <v>546</v>
      </c>
      <c r="C820" s="3">
        <v>45798</v>
      </c>
      <c r="D820" t="s">
        <v>1024</v>
      </c>
      <c r="E820">
        <v>24.99</v>
      </c>
      <c r="F820" t="s">
        <v>1047</v>
      </c>
      <c r="G820">
        <v>59</v>
      </c>
      <c r="H820" t="s">
        <v>2305</v>
      </c>
      <c r="I820" t="s">
        <v>2306</v>
      </c>
      <c r="J820">
        <v>777</v>
      </c>
      <c r="K820">
        <v>9</v>
      </c>
      <c r="L820" t="s">
        <v>2077</v>
      </c>
      <c r="M820">
        <v>5274</v>
      </c>
      <c r="N820">
        <v>253</v>
      </c>
      <c r="O820">
        <v>5527</v>
      </c>
      <c r="P820" t="s">
        <v>2883</v>
      </c>
    </row>
    <row r="821" spans="1:16" x14ac:dyDescent="0.25">
      <c r="A821" t="s">
        <v>2031</v>
      </c>
      <c r="B821" t="s">
        <v>815</v>
      </c>
      <c r="C821" s="3">
        <v>45746</v>
      </c>
      <c r="D821" t="s">
        <v>1024</v>
      </c>
      <c r="E821">
        <v>24.99</v>
      </c>
      <c r="F821" t="s">
        <v>1047</v>
      </c>
      <c r="G821">
        <v>15</v>
      </c>
      <c r="H821" t="s">
        <v>2032</v>
      </c>
      <c r="I821" t="s">
        <v>2033</v>
      </c>
      <c r="J821">
        <v>775</v>
      </c>
      <c r="K821">
        <v>8</v>
      </c>
      <c r="L821" t="s">
        <v>1022</v>
      </c>
      <c r="M821">
        <v>1340</v>
      </c>
      <c r="N821">
        <v>95</v>
      </c>
      <c r="O821">
        <v>1435</v>
      </c>
      <c r="P821" t="s">
        <v>2883</v>
      </c>
    </row>
    <row r="822" spans="1:16" x14ac:dyDescent="0.25">
      <c r="A822" t="s">
        <v>1000</v>
      </c>
      <c r="B822" t="s">
        <v>656</v>
      </c>
      <c r="C822" s="3">
        <v>39365</v>
      </c>
      <c r="D822" t="s">
        <v>1024</v>
      </c>
      <c r="E822">
        <v>9.99</v>
      </c>
      <c r="F822" t="s">
        <v>1189</v>
      </c>
      <c r="G822">
        <v>15</v>
      </c>
      <c r="H822" t="s">
        <v>1021</v>
      </c>
      <c r="I822" t="s">
        <v>1021</v>
      </c>
      <c r="J822">
        <v>773</v>
      </c>
      <c r="K822">
        <v>9</v>
      </c>
      <c r="L822" t="s">
        <v>2077</v>
      </c>
      <c r="M822">
        <v>97287</v>
      </c>
      <c r="N822">
        <v>1294</v>
      </c>
      <c r="O822">
        <v>98581</v>
      </c>
      <c r="P822" t="s">
        <v>2883</v>
      </c>
    </row>
    <row r="823" spans="1:16" x14ac:dyDescent="0.25">
      <c r="A823" t="s">
        <v>1553</v>
      </c>
      <c r="B823" t="s">
        <v>920</v>
      </c>
      <c r="C823" s="3">
        <v>43341</v>
      </c>
      <c r="D823" t="s">
        <v>1024</v>
      </c>
      <c r="E823">
        <v>29.99</v>
      </c>
      <c r="F823" t="s">
        <v>1110</v>
      </c>
      <c r="G823">
        <v>61</v>
      </c>
      <c r="H823" t="s">
        <v>1554</v>
      </c>
      <c r="I823" t="s">
        <v>1555</v>
      </c>
      <c r="J823">
        <v>770</v>
      </c>
      <c r="K823">
        <v>8</v>
      </c>
      <c r="L823" t="s">
        <v>1022</v>
      </c>
      <c r="M823">
        <v>15208</v>
      </c>
      <c r="N823">
        <v>1292</v>
      </c>
      <c r="O823">
        <v>16500</v>
      </c>
      <c r="P823" t="s">
        <v>2883</v>
      </c>
    </row>
    <row r="824" spans="1:16" x14ac:dyDescent="0.25">
      <c r="A824" t="s">
        <v>2683</v>
      </c>
      <c r="B824" t="s">
        <v>209</v>
      </c>
      <c r="C824" s="3">
        <v>44456</v>
      </c>
      <c r="D824" t="s">
        <v>1019</v>
      </c>
      <c r="F824" t="s">
        <v>2892</v>
      </c>
      <c r="H824" t="s">
        <v>2109</v>
      </c>
      <c r="I824" t="s">
        <v>2109</v>
      </c>
      <c r="J824">
        <v>766</v>
      </c>
      <c r="K824">
        <v>0</v>
      </c>
      <c r="L824" t="s">
        <v>2684</v>
      </c>
      <c r="M824">
        <v>1</v>
      </c>
      <c r="N824">
        <v>0</v>
      </c>
      <c r="O824">
        <v>1</v>
      </c>
      <c r="P824" t="s">
        <v>2882</v>
      </c>
    </row>
    <row r="825" spans="1:16" x14ac:dyDescent="0.25">
      <c r="A825" t="s">
        <v>1186</v>
      </c>
      <c r="B825" t="s">
        <v>483</v>
      </c>
      <c r="C825" s="3">
        <v>45567</v>
      </c>
      <c r="D825" t="s">
        <v>1024</v>
      </c>
      <c r="E825">
        <v>6.99</v>
      </c>
      <c r="F825" t="s">
        <v>1026</v>
      </c>
      <c r="H825" t="s">
        <v>1187</v>
      </c>
      <c r="I825" t="s">
        <v>1187</v>
      </c>
      <c r="J825">
        <v>762</v>
      </c>
      <c r="K825">
        <v>8</v>
      </c>
      <c r="L825" t="s">
        <v>1022</v>
      </c>
      <c r="M825">
        <v>15841</v>
      </c>
      <c r="N825">
        <v>2005</v>
      </c>
      <c r="O825">
        <v>17846</v>
      </c>
      <c r="P825" t="s">
        <v>2883</v>
      </c>
    </row>
    <row r="826" spans="1:16" x14ac:dyDescent="0.25">
      <c r="A826" t="s">
        <v>2034</v>
      </c>
      <c r="B826" t="s">
        <v>982</v>
      </c>
      <c r="C826" s="3">
        <v>41190</v>
      </c>
      <c r="D826" t="s">
        <v>1024</v>
      </c>
      <c r="E826">
        <v>14.99</v>
      </c>
      <c r="F826" t="s">
        <v>1047</v>
      </c>
      <c r="G826">
        <v>85</v>
      </c>
      <c r="H826" t="s">
        <v>1122</v>
      </c>
      <c r="I826" t="s">
        <v>1123</v>
      </c>
      <c r="J826">
        <v>762</v>
      </c>
      <c r="K826">
        <v>8</v>
      </c>
      <c r="L826" t="s">
        <v>1022</v>
      </c>
      <c r="M826">
        <v>33037</v>
      </c>
      <c r="N826">
        <v>2489</v>
      </c>
      <c r="O826">
        <v>35526</v>
      </c>
      <c r="P826" t="s">
        <v>2883</v>
      </c>
    </row>
    <row r="827" spans="1:16" x14ac:dyDescent="0.25">
      <c r="A827" t="s">
        <v>2596</v>
      </c>
      <c r="B827" t="s">
        <v>236</v>
      </c>
      <c r="C827" s="3">
        <v>45596</v>
      </c>
      <c r="D827" t="s">
        <v>1024</v>
      </c>
      <c r="E827">
        <v>59.99</v>
      </c>
      <c r="F827" t="s">
        <v>1047</v>
      </c>
      <c r="G827">
        <v>52</v>
      </c>
      <c r="H827" t="s">
        <v>1694</v>
      </c>
      <c r="I827" t="s">
        <v>1035</v>
      </c>
      <c r="J827">
        <v>751</v>
      </c>
      <c r="K827">
        <v>5</v>
      </c>
      <c r="L827" t="s">
        <v>2514</v>
      </c>
      <c r="M827">
        <v>21316</v>
      </c>
      <c r="N827">
        <v>10010</v>
      </c>
      <c r="O827">
        <v>31326</v>
      </c>
      <c r="P827" t="s">
        <v>2883</v>
      </c>
    </row>
    <row r="828" spans="1:16" x14ac:dyDescent="0.25">
      <c r="A828" t="s">
        <v>2854</v>
      </c>
      <c r="B828" t="s">
        <v>418</v>
      </c>
      <c r="C828" s="3">
        <v>45063</v>
      </c>
      <c r="D828" t="s">
        <v>1019</v>
      </c>
      <c r="F828" t="s">
        <v>1020</v>
      </c>
      <c r="G828">
        <v>37</v>
      </c>
      <c r="H828" t="s">
        <v>2855</v>
      </c>
      <c r="I828" t="s">
        <v>2856</v>
      </c>
      <c r="J828">
        <v>750</v>
      </c>
      <c r="K828">
        <v>5</v>
      </c>
      <c r="L828" t="s">
        <v>2514</v>
      </c>
      <c r="M828">
        <v>980</v>
      </c>
      <c r="N828">
        <v>487</v>
      </c>
      <c r="O828">
        <v>1467</v>
      </c>
      <c r="P828" t="s">
        <v>2882</v>
      </c>
    </row>
    <row r="829" spans="1:16" x14ac:dyDescent="0.25">
      <c r="A829" t="s">
        <v>2857</v>
      </c>
      <c r="B829" t="s">
        <v>797</v>
      </c>
      <c r="C829" s="3">
        <v>46001</v>
      </c>
      <c r="D829" t="s">
        <v>1019</v>
      </c>
      <c r="F829" t="s">
        <v>1020</v>
      </c>
      <c r="H829" t="s">
        <v>2858</v>
      </c>
      <c r="I829" t="s">
        <v>2858</v>
      </c>
      <c r="J829">
        <v>750</v>
      </c>
      <c r="K829">
        <v>6</v>
      </c>
      <c r="L829" t="s">
        <v>2338</v>
      </c>
      <c r="M829">
        <v>865</v>
      </c>
      <c r="N829">
        <v>340</v>
      </c>
      <c r="O829">
        <v>1205</v>
      </c>
      <c r="P829" t="s">
        <v>2882</v>
      </c>
    </row>
    <row r="830" spans="1:16" x14ac:dyDescent="0.25">
      <c r="A830" t="s">
        <v>2597</v>
      </c>
      <c r="B830" t="s">
        <v>577</v>
      </c>
      <c r="C830" s="3">
        <v>44896</v>
      </c>
      <c r="D830" t="s">
        <v>1024</v>
      </c>
      <c r="E830">
        <v>69.989999999999995</v>
      </c>
      <c r="F830" t="s">
        <v>1178</v>
      </c>
      <c r="G830">
        <v>41</v>
      </c>
      <c r="H830" t="s">
        <v>2598</v>
      </c>
      <c r="I830" t="s">
        <v>1035</v>
      </c>
      <c r="J830">
        <v>747</v>
      </c>
      <c r="K830">
        <v>5</v>
      </c>
      <c r="L830" t="s">
        <v>2514</v>
      </c>
      <c r="M830">
        <v>15262</v>
      </c>
      <c r="N830">
        <v>9667</v>
      </c>
      <c r="O830">
        <v>24929</v>
      </c>
      <c r="P830" t="s">
        <v>2883</v>
      </c>
    </row>
    <row r="831" spans="1:16" x14ac:dyDescent="0.25">
      <c r="A831" t="s">
        <v>2310</v>
      </c>
      <c r="B831" t="s">
        <v>272</v>
      </c>
      <c r="C831" s="3">
        <v>45597</v>
      </c>
      <c r="D831" t="s">
        <v>1024</v>
      </c>
      <c r="E831">
        <v>19.989999999999998</v>
      </c>
      <c r="F831" t="s">
        <v>1026</v>
      </c>
      <c r="G831">
        <v>34</v>
      </c>
      <c r="H831" t="s">
        <v>2311</v>
      </c>
      <c r="I831" t="s">
        <v>2311</v>
      </c>
      <c r="J831">
        <v>746</v>
      </c>
      <c r="K831">
        <v>9</v>
      </c>
      <c r="L831" t="s">
        <v>2077</v>
      </c>
      <c r="M831">
        <v>3695</v>
      </c>
      <c r="N831">
        <v>187</v>
      </c>
      <c r="O831">
        <v>3882</v>
      </c>
      <c r="P831" t="s">
        <v>2883</v>
      </c>
    </row>
    <row r="832" spans="1:16" x14ac:dyDescent="0.25">
      <c r="A832" t="s">
        <v>1566</v>
      </c>
      <c r="B832" t="s">
        <v>216</v>
      </c>
      <c r="C832" s="3">
        <v>44224</v>
      </c>
      <c r="D832" t="s">
        <v>1024</v>
      </c>
      <c r="E832">
        <v>9.99</v>
      </c>
      <c r="F832" t="s">
        <v>1208</v>
      </c>
      <c r="G832">
        <v>131</v>
      </c>
      <c r="H832" t="s">
        <v>1567</v>
      </c>
      <c r="I832" t="s">
        <v>1567</v>
      </c>
      <c r="J832">
        <v>735</v>
      </c>
      <c r="K832">
        <v>8</v>
      </c>
      <c r="L832" t="s">
        <v>1022</v>
      </c>
      <c r="M832">
        <v>24455</v>
      </c>
      <c r="N832">
        <v>2693</v>
      </c>
      <c r="O832">
        <v>27148</v>
      </c>
      <c r="P832" t="s">
        <v>2883</v>
      </c>
    </row>
    <row r="833" spans="1:16" x14ac:dyDescent="0.25">
      <c r="A833" t="s">
        <v>1748</v>
      </c>
      <c r="B833" t="s">
        <v>879</v>
      </c>
      <c r="C833" s="3">
        <v>41015</v>
      </c>
      <c r="D833" t="s">
        <v>1024</v>
      </c>
      <c r="E833">
        <v>19.989999999999998</v>
      </c>
      <c r="F833" t="s">
        <v>1042</v>
      </c>
      <c r="G833">
        <v>52</v>
      </c>
      <c r="H833" t="s">
        <v>1181</v>
      </c>
      <c r="I833" t="s">
        <v>1181</v>
      </c>
      <c r="J833">
        <v>732</v>
      </c>
      <c r="K833">
        <v>8</v>
      </c>
      <c r="L833" t="s">
        <v>1022</v>
      </c>
      <c r="M833">
        <v>25665</v>
      </c>
      <c r="N833">
        <v>3429</v>
      </c>
      <c r="O833">
        <v>29094</v>
      </c>
      <c r="P833" t="s">
        <v>2883</v>
      </c>
    </row>
    <row r="834" spans="1:16" x14ac:dyDescent="0.25">
      <c r="A834" t="s">
        <v>1570</v>
      </c>
      <c r="B834" t="s">
        <v>481</v>
      </c>
      <c r="C834" s="3">
        <v>44656</v>
      </c>
      <c r="D834" t="s">
        <v>1024</v>
      </c>
      <c r="E834">
        <v>49.99</v>
      </c>
      <c r="F834" t="s">
        <v>1113</v>
      </c>
      <c r="G834">
        <v>45</v>
      </c>
      <c r="H834" t="s">
        <v>1571</v>
      </c>
      <c r="I834" t="s">
        <v>1423</v>
      </c>
      <c r="J834">
        <v>731</v>
      </c>
      <c r="K834">
        <v>8</v>
      </c>
      <c r="L834" t="s">
        <v>1022</v>
      </c>
      <c r="M834">
        <v>28273</v>
      </c>
      <c r="N834">
        <v>3562</v>
      </c>
      <c r="O834">
        <v>31835</v>
      </c>
      <c r="P834" t="s">
        <v>2883</v>
      </c>
    </row>
    <row r="835" spans="1:16" x14ac:dyDescent="0.25">
      <c r="A835" t="s">
        <v>1188</v>
      </c>
      <c r="B835" t="s">
        <v>986</v>
      </c>
      <c r="C835" s="3">
        <v>46056</v>
      </c>
      <c r="D835" t="s">
        <v>1024</v>
      </c>
      <c r="E835">
        <v>9.99</v>
      </c>
      <c r="F835" t="s">
        <v>1189</v>
      </c>
      <c r="H835" t="s">
        <v>1190</v>
      </c>
      <c r="I835" t="s">
        <v>1190</v>
      </c>
      <c r="J835">
        <v>728</v>
      </c>
      <c r="K835">
        <v>8</v>
      </c>
      <c r="L835" t="s">
        <v>1022</v>
      </c>
      <c r="M835">
        <v>3680</v>
      </c>
      <c r="N835">
        <v>619</v>
      </c>
      <c r="O835">
        <v>4299</v>
      </c>
      <c r="P835" t="s">
        <v>2883</v>
      </c>
    </row>
    <row r="836" spans="1:16" x14ac:dyDescent="0.25">
      <c r="A836" t="s">
        <v>2035</v>
      </c>
      <c r="B836" t="s">
        <v>751</v>
      </c>
      <c r="C836" s="3">
        <v>45519</v>
      </c>
      <c r="D836" t="s">
        <v>1024</v>
      </c>
      <c r="E836">
        <v>49.99</v>
      </c>
      <c r="F836" t="s">
        <v>1047</v>
      </c>
      <c r="G836">
        <v>64</v>
      </c>
      <c r="H836" t="s">
        <v>2036</v>
      </c>
      <c r="I836" t="s">
        <v>2037</v>
      </c>
      <c r="J836">
        <v>727</v>
      </c>
      <c r="K836">
        <v>8</v>
      </c>
      <c r="L836" t="s">
        <v>1022</v>
      </c>
      <c r="M836">
        <v>5031</v>
      </c>
      <c r="N836">
        <v>947</v>
      </c>
      <c r="O836">
        <v>5978</v>
      </c>
      <c r="P836" t="s">
        <v>2883</v>
      </c>
    </row>
    <row r="837" spans="1:16" x14ac:dyDescent="0.25">
      <c r="A837" t="s">
        <v>2471</v>
      </c>
      <c r="B837" t="s">
        <v>766</v>
      </c>
      <c r="C837" s="3">
        <v>45985</v>
      </c>
      <c r="D837" t="s">
        <v>1024</v>
      </c>
      <c r="E837">
        <v>39.99</v>
      </c>
      <c r="F837" t="s">
        <v>1042</v>
      </c>
      <c r="G837">
        <v>58</v>
      </c>
      <c r="H837" t="s">
        <v>2472</v>
      </c>
      <c r="I837" t="s">
        <v>2473</v>
      </c>
      <c r="J837">
        <v>726</v>
      </c>
      <c r="K837">
        <v>6</v>
      </c>
      <c r="L837" t="s">
        <v>2338</v>
      </c>
      <c r="M837">
        <v>2793</v>
      </c>
      <c r="N837">
        <v>883</v>
      </c>
      <c r="O837">
        <v>3676</v>
      </c>
      <c r="P837" t="s">
        <v>2883</v>
      </c>
    </row>
    <row r="838" spans="1:16" x14ac:dyDescent="0.25">
      <c r="A838" t="s">
        <v>2039</v>
      </c>
      <c r="B838" t="s">
        <v>454</v>
      </c>
      <c r="C838" s="3">
        <v>45121</v>
      </c>
      <c r="D838" t="s">
        <v>1024</v>
      </c>
      <c r="E838">
        <v>44.99</v>
      </c>
      <c r="F838" t="s">
        <v>1047</v>
      </c>
      <c r="G838">
        <v>50</v>
      </c>
      <c r="H838" t="s">
        <v>2040</v>
      </c>
      <c r="I838" t="s">
        <v>1127</v>
      </c>
      <c r="J838">
        <v>725</v>
      </c>
      <c r="K838">
        <v>8</v>
      </c>
      <c r="L838" t="s">
        <v>1022</v>
      </c>
      <c r="M838">
        <v>5927</v>
      </c>
      <c r="N838">
        <v>821</v>
      </c>
      <c r="O838">
        <v>6748</v>
      </c>
      <c r="P838" t="s">
        <v>2883</v>
      </c>
    </row>
    <row r="839" spans="1:16" x14ac:dyDescent="0.25">
      <c r="A839" t="s">
        <v>2038</v>
      </c>
      <c r="B839" t="s">
        <v>647</v>
      </c>
      <c r="C839" s="3">
        <v>42691</v>
      </c>
      <c r="D839" t="s">
        <v>1024</v>
      </c>
      <c r="E839">
        <v>44.99</v>
      </c>
      <c r="F839" t="s">
        <v>1047</v>
      </c>
      <c r="G839">
        <v>32</v>
      </c>
      <c r="H839" t="s">
        <v>1915</v>
      </c>
      <c r="I839" t="s">
        <v>1915</v>
      </c>
      <c r="J839">
        <v>724</v>
      </c>
      <c r="K839">
        <v>8</v>
      </c>
      <c r="L839" t="s">
        <v>1022</v>
      </c>
      <c r="M839">
        <v>34324</v>
      </c>
      <c r="N839">
        <v>3423</v>
      </c>
      <c r="O839">
        <v>37747</v>
      </c>
      <c r="P839" t="s">
        <v>2883</v>
      </c>
    </row>
    <row r="840" spans="1:16" x14ac:dyDescent="0.25">
      <c r="A840" t="s">
        <v>1563</v>
      </c>
      <c r="B840" t="s">
        <v>319</v>
      </c>
      <c r="C840" s="3">
        <v>45342</v>
      </c>
      <c r="D840" t="s">
        <v>1024</v>
      </c>
      <c r="E840">
        <v>15.99</v>
      </c>
      <c r="F840" t="s">
        <v>1026</v>
      </c>
      <c r="G840">
        <v>65</v>
      </c>
      <c r="H840" t="s">
        <v>1564</v>
      </c>
      <c r="I840" t="s">
        <v>1565</v>
      </c>
      <c r="J840">
        <v>722</v>
      </c>
      <c r="K840">
        <v>8</v>
      </c>
      <c r="L840" t="s">
        <v>1022</v>
      </c>
      <c r="M840">
        <v>233</v>
      </c>
      <c r="N840">
        <v>48</v>
      </c>
      <c r="O840">
        <v>281</v>
      </c>
      <c r="P840" t="s">
        <v>2883</v>
      </c>
    </row>
    <row r="841" spans="1:16" x14ac:dyDescent="0.25">
      <c r="A841" t="s">
        <v>2312</v>
      </c>
      <c r="B841" t="s">
        <v>246</v>
      </c>
      <c r="C841" s="3">
        <v>45015</v>
      </c>
      <c r="D841" t="s">
        <v>1024</v>
      </c>
      <c r="E841">
        <v>24.99</v>
      </c>
      <c r="F841" t="s">
        <v>1042</v>
      </c>
      <c r="G841">
        <v>60</v>
      </c>
      <c r="H841" t="s">
        <v>2313</v>
      </c>
      <c r="I841" t="s">
        <v>1379</v>
      </c>
      <c r="J841">
        <v>717</v>
      </c>
      <c r="K841">
        <v>9</v>
      </c>
      <c r="L841" t="s">
        <v>2077</v>
      </c>
      <c r="M841">
        <v>35583</v>
      </c>
      <c r="N841">
        <v>1406</v>
      </c>
      <c r="O841">
        <v>36989</v>
      </c>
      <c r="P841" t="s">
        <v>2883</v>
      </c>
    </row>
    <row r="842" spans="1:16" x14ac:dyDescent="0.25">
      <c r="A842" t="s">
        <v>2469</v>
      </c>
      <c r="B842" t="s">
        <v>56</v>
      </c>
      <c r="C842" s="3">
        <v>44481</v>
      </c>
      <c r="D842" t="s">
        <v>1024</v>
      </c>
      <c r="E842">
        <v>59.99</v>
      </c>
      <c r="F842" t="s">
        <v>1189</v>
      </c>
      <c r="G842">
        <v>93</v>
      </c>
      <c r="H842" t="s">
        <v>2470</v>
      </c>
      <c r="I842" t="s">
        <v>1423</v>
      </c>
      <c r="J842">
        <v>711</v>
      </c>
      <c r="K842">
        <v>6</v>
      </c>
      <c r="L842" t="s">
        <v>2338</v>
      </c>
      <c r="M842">
        <v>23923</v>
      </c>
      <c r="N842">
        <v>9777</v>
      </c>
      <c r="O842">
        <v>33700</v>
      </c>
      <c r="P842" t="s">
        <v>2883</v>
      </c>
    </row>
    <row r="843" spans="1:16" x14ac:dyDescent="0.25">
      <c r="A843" t="s">
        <v>1572</v>
      </c>
      <c r="B843" t="s">
        <v>308</v>
      </c>
      <c r="C843" s="3">
        <v>42429</v>
      </c>
      <c r="D843" t="s">
        <v>1024</v>
      </c>
      <c r="E843">
        <v>29.99</v>
      </c>
      <c r="F843" t="s">
        <v>1113</v>
      </c>
      <c r="G843">
        <v>55</v>
      </c>
      <c r="H843" t="s">
        <v>1212</v>
      </c>
      <c r="I843" t="s">
        <v>1212</v>
      </c>
      <c r="J843">
        <v>703</v>
      </c>
      <c r="K843">
        <v>8</v>
      </c>
      <c r="L843" t="s">
        <v>1022</v>
      </c>
      <c r="M843">
        <v>12841</v>
      </c>
      <c r="N843">
        <v>2184</v>
      </c>
      <c r="O843">
        <v>15025</v>
      </c>
      <c r="P843" t="s">
        <v>2883</v>
      </c>
    </row>
    <row r="844" spans="1:16" x14ac:dyDescent="0.25">
      <c r="A844" t="s">
        <v>2314</v>
      </c>
      <c r="B844" t="s">
        <v>610</v>
      </c>
      <c r="C844" s="3">
        <v>41521</v>
      </c>
      <c r="D844" t="s">
        <v>1024</v>
      </c>
      <c r="E844">
        <v>14.99</v>
      </c>
      <c r="F844" t="s">
        <v>1208</v>
      </c>
      <c r="G844">
        <v>14</v>
      </c>
      <c r="H844" t="s">
        <v>1225</v>
      </c>
      <c r="I844" t="s">
        <v>1225</v>
      </c>
      <c r="J844">
        <v>702</v>
      </c>
      <c r="K844">
        <v>9</v>
      </c>
      <c r="L844" t="s">
        <v>2077</v>
      </c>
      <c r="M844">
        <v>38233</v>
      </c>
      <c r="N844">
        <v>1711</v>
      </c>
      <c r="O844">
        <v>39944</v>
      </c>
      <c r="P844" t="s">
        <v>2883</v>
      </c>
    </row>
    <row r="845" spans="1:16" x14ac:dyDescent="0.25">
      <c r="A845" t="s">
        <v>1747</v>
      </c>
      <c r="B845" t="s">
        <v>597</v>
      </c>
      <c r="C845" s="3">
        <v>44981</v>
      </c>
      <c r="D845" t="s">
        <v>1024</v>
      </c>
      <c r="E845">
        <v>59.99</v>
      </c>
      <c r="F845" t="s">
        <v>1042</v>
      </c>
      <c r="G845">
        <v>33</v>
      </c>
      <c r="H845" t="s">
        <v>1043</v>
      </c>
      <c r="I845" t="s">
        <v>1043</v>
      </c>
      <c r="J845">
        <v>700</v>
      </c>
      <c r="K845">
        <v>8</v>
      </c>
      <c r="L845" t="s">
        <v>1022</v>
      </c>
      <c r="M845">
        <v>5388</v>
      </c>
      <c r="N845">
        <v>381</v>
      </c>
      <c r="O845">
        <v>5769</v>
      </c>
      <c r="P845" t="s">
        <v>2883</v>
      </c>
    </row>
    <row r="846" spans="1:16" x14ac:dyDescent="0.25">
      <c r="A846" t="s">
        <v>1749</v>
      </c>
      <c r="B846" t="s">
        <v>584</v>
      </c>
      <c r="C846" s="3">
        <v>46058</v>
      </c>
      <c r="D846" t="s">
        <v>1024</v>
      </c>
      <c r="E846">
        <v>69.989999999999995</v>
      </c>
      <c r="F846" t="s">
        <v>1042</v>
      </c>
      <c r="G846">
        <v>64</v>
      </c>
      <c r="H846" t="s">
        <v>1590</v>
      </c>
      <c r="I846" t="s">
        <v>1590</v>
      </c>
      <c r="J846">
        <v>700</v>
      </c>
      <c r="K846">
        <v>8</v>
      </c>
      <c r="L846" t="s">
        <v>1022</v>
      </c>
      <c r="M846">
        <v>5025</v>
      </c>
      <c r="N846">
        <v>1182</v>
      </c>
      <c r="O846">
        <v>6207</v>
      </c>
      <c r="P846" t="s">
        <v>2883</v>
      </c>
    </row>
    <row r="847" spans="1:16" x14ac:dyDescent="0.25">
      <c r="A847" t="s">
        <v>1750</v>
      </c>
      <c r="B847" t="s">
        <v>489</v>
      </c>
      <c r="C847" s="3">
        <v>45316</v>
      </c>
      <c r="D847" t="s">
        <v>1024</v>
      </c>
      <c r="E847">
        <v>69.989999999999995</v>
      </c>
      <c r="F847" t="s">
        <v>1042</v>
      </c>
      <c r="G847">
        <v>74</v>
      </c>
      <c r="H847" t="s">
        <v>1751</v>
      </c>
      <c r="I847" t="s">
        <v>1555</v>
      </c>
      <c r="J847">
        <v>700</v>
      </c>
      <c r="K847">
        <v>8</v>
      </c>
      <c r="L847" t="s">
        <v>1022</v>
      </c>
      <c r="M847">
        <v>9272</v>
      </c>
      <c r="N847">
        <v>859</v>
      </c>
      <c r="O847">
        <v>10131</v>
      </c>
      <c r="P847" t="s">
        <v>2883</v>
      </c>
    </row>
    <row r="848" spans="1:16" x14ac:dyDescent="0.25">
      <c r="A848" t="s">
        <v>1573</v>
      </c>
      <c r="B848" t="s">
        <v>6</v>
      </c>
      <c r="C848" s="3">
        <v>43496</v>
      </c>
      <c r="D848" t="s">
        <v>1024</v>
      </c>
      <c r="E848">
        <v>59.99</v>
      </c>
      <c r="F848" t="s">
        <v>1110</v>
      </c>
      <c r="G848">
        <v>49</v>
      </c>
      <c r="H848" t="s">
        <v>1549</v>
      </c>
      <c r="I848" t="s">
        <v>1324</v>
      </c>
      <c r="J848">
        <v>690</v>
      </c>
      <c r="K848">
        <v>8</v>
      </c>
      <c r="L848" t="s">
        <v>1022</v>
      </c>
      <c r="M848">
        <v>24213</v>
      </c>
      <c r="N848">
        <v>3011</v>
      </c>
      <c r="O848">
        <v>27224</v>
      </c>
      <c r="P848" t="s">
        <v>2883</v>
      </c>
    </row>
    <row r="849" spans="1:16" x14ac:dyDescent="0.25">
      <c r="A849" t="s">
        <v>1574</v>
      </c>
      <c r="B849" t="s">
        <v>534</v>
      </c>
      <c r="C849" s="3">
        <v>41912</v>
      </c>
      <c r="D849" t="s">
        <v>1024</v>
      </c>
      <c r="E849">
        <v>19.989999999999998</v>
      </c>
      <c r="F849" t="s">
        <v>2892</v>
      </c>
      <c r="G849">
        <v>74</v>
      </c>
      <c r="H849" t="s">
        <v>1575</v>
      </c>
      <c r="I849" t="s">
        <v>1562</v>
      </c>
      <c r="J849">
        <v>690</v>
      </c>
      <c r="K849">
        <v>8</v>
      </c>
      <c r="L849" t="s">
        <v>1022</v>
      </c>
      <c r="M849">
        <v>45041</v>
      </c>
      <c r="N849">
        <v>3940</v>
      </c>
      <c r="O849">
        <v>48981</v>
      </c>
      <c r="P849" t="s">
        <v>2883</v>
      </c>
    </row>
    <row r="850" spans="1:16" x14ac:dyDescent="0.25">
      <c r="A850" t="s">
        <v>2474</v>
      </c>
      <c r="B850" t="s">
        <v>551</v>
      </c>
      <c r="C850" s="3">
        <v>42107</v>
      </c>
      <c r="D850" t="s">
        <v>1024</v>
      </c>
      <c r="E850">
        <v>19.989999999999998</v>
      </c>
      <c r="F850" t="s">
        <v>1189</v>
      </c>
      <c r="G850">
        <v>73</v>
      </c>
      <c r="H850" t="s">
        <v>1422</v>
      </c>
      <c r="I850" t="s">
        <v>1423</v>
      </c>
      <c r="J850">
        <v>685</v>
      </c>
      <c r="K850">
        <v>6</v>
      </c>
      <c r="L850" t="s">
        <v>2338</v>
      </c>
      <c r="M850">
        <v>15904</v>
      </c>
      <c r="N850">
        <v>4562</v>
      </c>
      <c r="O850">
        <v>20466</v>
      </c>
      <c r="P850" t="s">
        <v>2883</v>
      </c>
    </row>
    <row r="851" spans="1:16" x14ac:dyDescent="0.25">
      <c r="A851" t="s">
        <v>1580</v>
      </c>
      <c r="B851" t="s">
        <v>445</v>
      </c>
      <c r="C851" s="3">
        <v>45634</v>
      </c>
      <c r="D851" t="s">
        <v>1024</v>
      </c>
      <c r="E851">
        <v>69.989999999999995</v>
      </c>
      <c r="F851" t="s">
        <v>1113</v>
      </c>
      <c r="G851">
        <v>55</v>
      </c>
      <c r="H851" t="s">
        <v>1581</v>
      </c>
      <c r="I851" t="s">
        <v>1051</v>
      </c>
      <c r="J851">
        <v>684</v>
      </c>
      <c r="K851">
        <v>8</v>
      </c>
      <c r="L851" t="s">
        <v>1022</v>
      </c>
      <c r="M851">
        <v>10440</v>
      </c>
      <c r="N851">
        <v>1095</v>
      </c>
      <c r="O851">
        <v>11535</v>
      </c>
      <c r="P851" t="s">
        <v>2883</v>
      </c>
    </row>
    <row r="852" spans="1:16" x14ac:dyDescent="0.25">
      <c r="A852" t="s">
        <v>2859</v>
      </c>
      <c r="B852" t="s">
        <v>640</v>
      </c>
      <c r="C852" s="3">
        <v>44048</v>
      </c>
      <c r="D852" t="s">
        <v>1019</v>
      </c>
      <c r="F852" t="s">
        <v>1020</v>
      </c>
      <c r="G852">
        <v>45</v>
      </c>
      <c r="H852" t="s">
        <v>1555</v>
      </c>
      <c r="I852" t="s">
        <v>1555</v>
      </c>
      <c r="J852">
        <v>682</v>
      </c>
      <c r="K852">
        <v>5</v>
      </c>
      <c r="L852" t="s">
        <v>2514</v>
      </c>
      <c r="M852">
        <v>12209</v>
      </c>
      <c r="N852">
        <v>5770</v>
      </c>
      <c r="O852">
        <v>17979</v>
      </c>
      <c r="P852" t="s">
        <v>2882</v>
      </c>
    </row>
    <row r="853" spans="1:16" x14ac:dyDescent="0.25">
      <c r="A853" t="s">
        <v>1576</v>
      </c>
      <c r="B853" t="s">
        <v>567</v>
      </c>
      <c r="C853" s="3">
        <v>46020</v>
      </c>
      <c r="D853" t="s">
        <v>1024</v>
      </c>
      <c r="E853">
        <v>14.99</v>
      </c>
      <c r="F853" t="s">
        <v>1026</v>
      </c>
      <c r="G853">
        <v>67</v>
      </c>
      <c r="H853" t="s">
        <v>1405</v>
      </c>
      <c r="I853" t="s">
        <v>1405</v>
      </c>
      <c r="J853">
        <v>677</v>
      </c>
      <c r="K853">
        <v>8</v>
      </c>
      <c r="L853" t="s">
        <v>1022</v>
      </c>
      <c r="M853">
        <v>6181</v>
      </c>
      <c r="N853">
        <v>405</v>
      </c>
      <c r="O853">
        <v>6586</v>
      </c>
      <c r="P853" t="s">
        <v>2883</v>
      </c>
    </row>
    <row r="854" spans="1:16" x14ac:dyDescent="0.25">
      <c r="A854" t="s">
        <v>1584</v>
      </c>
      <c r="B854" t="s">
        <v>237</v>
      </c>
      <c r="C854" s="3">
        <v>43126</v>
      </c>
      <c r="D854" t="s">
        <v>1024</v>
      </c>
      <c r="E854">
        <v>89.99</v>
      </c>
      <c r="F854" t="s">
        <v>1189</v>
      </c>
      <c r="G854">
        <v>35</v>
      </c>
      <c r="H854" t="s">
        <v>1412</v>
      </c>
      <c r="I854" t="s">
        <v>1324</v>
      </c>
      <c r="J854">
        <v>674</v>
      </c>
      <c r="K854">
        <v>8</v>
      </c>
      <c r="L854" t="s">
        <v>1022</v>
      </c>
      <c r="M854">
        <v>33259</v>
      </c>
      <c r="N854">
        <v>3328</v>
      </c>
      <c r="O854">
        <v>36587</v>
      </c>
      <c r="P854" t="s">
        <v>2883</v>
      </c>
    </row>
    <row r="855" spans="1:16" x14ac:dyDescent="0.25">
      <c r="A855" t="s">
        <v>1585</v>
      </c>
      <c r="B855" t="s">
        <v>131</v>
      </c>
      <c r="C855" s="3">
        <v>45785</v>
      </c>
      <c r="D855" t="s">
        <v>1024</v>
      </c>
      <c r="E855">
        <v>19.989999999999998</v>
      </c>
      <c r="F855" t="s">
        <v>1110</v>
      </c>
      <c r="G855">
        <v>26</v>
      </c>
      <c r="H855" t="s">
        <v>1586</v>
      </c>
      <c r="I855" t="s">
        <v>1587</v>
      </c>
      <c r="J855">
        <v>673</v>
      </c>
      <c r="K855">
        <v>8</v>
      </c>
      <c r="L855" t="s">
        <v>1022</v>
      </c>
      <c r="M855">
        <v>3643</v>
      </c>
      <c r="N855">
        <v>321</v>
      </c>
      <c r="O855">
        <v>3964</v>
      </c>
      <c r="P855" t="s">
        <v>2883</v>
      </c>
    </row>
    <row r="856" spans="1:16" x14ac:dyDescent="0.25">
      <c r="A856" t="s">
        <v>2860</v>
      </c>
      <c r="B856" t="s">
        <v>332</v>
      </c>
      <c r="C856" s="3">
        <v>45611</v>
      </c>
      <c r="D856" t="s">
        <v>1019</v>
      </c>
      <c r="F856" t="s">
        <v>1020</v>
      </c>
      <c r="G856">
        <v>30</v>
      </c>
      <c r="H856" t="s">
        <v>2861</v>
      </c>
      <c r="I856" t="s">
        <v>2862</v>
      </c>
      <c r="J856">
        <v>669</v>
      </c>
      <c r="K856">
        <v>5</v>
      </c>
      <c r="L856" t="s">
        <v>2514</v>
      </c>
      <c r="M856">
        <v>327</v>
      </c>
      <c r="N856">
        <v>221</v>
      </c>
      <c r="O856">
        <v>548</v>
      </c>
      <c r="P856" t="s">
        <v>2882</v>
      </c>
    </row>
    <row r="857" spans="1:16" x14ac:dyDescent="0.25">
      <c r="A857" t="s">
        <v>1582</v>
      </c>
      <c r="B857" t="s">
        <v>548</v>
      </c>
      <c r="C857" s="3">
        <v>43584</v>
      </c>
      <c r="D857" t="s">
        <v>1024</v>
      </c>
      <c r="E857">
        <v>29.99</v>
      </c>
      <c r="F857" t="s">
        <v>1208</v>
      </c>
      <c r="G857">
        <v>38</v>
      </c>
      <c r="H857" t="s">
        <v>1583</v>
      </c>
      <c r="I857" t="s">
        <v>1583</v>
      </c>
      <c r="J857">
        <v>666</v>
      </c>
      <c r="K857">
        <v>8</v>
      </c>
      <c r="L857" t="s">
        <v>1022</v>
      </c>
      <c r="M857">
        <v>58301</v>
      </c>
      <c r="N857">
        <v>13871</v>
      </c>
      <c r="O857">
        <v>72172</v>
      </c>
      <c r="P857" t="s">
        <v>2883</v>
      </c>
    </row>
    <row r="858" spans="1:16" x14ac:dyDescent="0.25">
      <c r="A858" t="s">
        <v>1577</v>
      </c>
      <c r="B858" t="s">
        <v>557</v>
      </c>
      <c r="C858" s="3">
        <v>46128</v>
      </c>
      <c r="D858" t="s">
        <v>1024</v>
      </c>
      <c r="E858">
        <v>29.99</v>
      </c>
      <c r="F858" t="s">
        <v>1208</v>
      </c>
      <c r="G858">
        <v>34</v>
      </c>
      <c r="H858" t="s">
        <v>1578</v>
      </c>
      <c r="I858" t="s">
        <v>1579</v>
      </c>
      <c r="J858">
        <v>665</v>
      </c>
      <c r="K858">
        <v>8</v>
      </c>
      <c r="L858" t="s">
        <v>1022</v>
      </c>
      <c r="M858">
        <v>8358</v>
      </c>
      <c r="N858">
        <v>521</v>
      </c>
      <c r="O858">
        <v>8879</v>
      </c>
      <c r="P858" t="s">
        <v>2883</v>
      </c>
    </row>
    <row r="859" spans="1:16" x14ac:dyDescent="0.25">
      <c r="A859" t="s">
        <v>2315</v>
      </c>
      <c r="B859" t="s">
        <v>475</v>
      </c>
      <c r="C859" s="3">
        <v>39769</v>
      </c>
      <c r="D859" t="s">
        <v>1024</v>
      </c>
      <c r="E859">
        <v>9.99</v>
      </c>
      <c r="F859" t="s">
        <v>1189</v>
      </c>
      <c r="G859">
        <v>73</v>
      </c>
      <c r="H859" t="s">
        <v>1021</v>
      </c>
      <c r="I859" t="s">
        <v>1021</v>
      </c>
      <c r="J859">
        <v>664</v>
      </c>
      <c r="K859">
        <v>9</v>
      </c>
      <c r="L859" t="s">
        <v>2077</v>
      </c>
      <c r="M859">
        <v>23578</v>
      </c>
      <c r="N859">
        <v>1056</v>
      </c>
      <c r="O859">
        <v>24634</v>
      </c>
      <c r="P859" t="s">
        <v>2883</v>
      </c>
    </row>
    <row r="860" spans="1:16" x14ac:dyDescent="0.25">
      <c r="A860" t="s">
        <v>2680</v>
      </c>
      <c r="B860" t="s">
        <v>50</v>
      </c>
      <c r="C860" s="3">
        <v>45350</v>
      </c>
      <c r="D860" t="s">
        <v>1019</v>
      </c>
      <c r="F860" t="s">
        <v>1047</v>
      </c>
      <c r="H860" t="s">
        <v>2681</v>
      </c>
      <c r="I860" t="s">
        <v>2682</v>
      </c>
      <c r="J860">
        <v>661</v>
      </c>
      <c r="K860">
        <v>6</v>
      </c>
      <c r="L860" t="s">
        <v>2338</v>
      </c>
      <c r="M860">
        <v>1387</v>
      </c>
      <c r="N860">
        <v>432</v>
      </c>
      <c r="O860">
        <v>1819</v>
      </c>
      <c r="P860" t="s">
        <v>2882</v>
      </c>
    </row>
    <row r="861" spans="1:16" x14ac:dyDescent="0.25">
      <c r="A861" t="s">
        <v>1753</v>
      </c>
      <c r="B861" t="s">
        <v>758</v>
      </c>
      <c r="C861" s="3">
        <v>45337</v>
      </c>
      <c r="D861" t="s">
        <v>1024</v>
      </c>
      <c r="E861">
        <v>34.99</v>
      </c>
      <c r="F861" t="s">
        <v>1042</v>
      </c>
      <c r="G861">
        <v>23</v>
      </c>
      <c r="H861" t="s">
        <v>1754</v>
      </c>
      <c r="I861" t="s">
        <v>1755</v>
      </c>
      <c r="J861">
        <v>653</v>
      </c>
      <c r="K861">
        <v>8</v>
      </c>
      <c r="L861" t="s">
        <v>1022</v>
      </c>
      <c r="M861">
        <v>4508</v>
      </c>
      <c r="N861">
        <v>1059</v>
      </c>
      <c r="O861">
        <v>5567</v>
      </c>
      <c r="P861" t="s">
        <v>2883</v>
      </c>
    </row>
    <row r="862" spans="1:16" x14ac:dyDescent="0.25">
      <c r="A862" t="s">
        <v>1756</v>
      </c>
      <c r="B862" t="s">
        <v>575</v>
      </c>
      <c r="C862" s="3">
        <v>45946</v>
      </c>
      <c r="D862" t="s">
        <v>1024</v>
      </c>
      <c r="E862">
        <v>14.99</v>
      </c>
      <c r="F862" t="s">
        <v>1042</v>
      </c>
      <c r="G862">
        <v>48</v>
      </c>
      <c r="H862" t="s">
        <v>1757</v>
      </c>
      <c r="I862" t="s">
        <v>1757</v>
      </c>
      <c r="J862">
        <v>651</v>
      </c>
      <c r="K862">
        <v>8</v>
      </c>
      <c r="L862" t="s">
        <v>1022</v>
      </c>
      <c r="M862">
        <v>13147</v>
      </c>
      <c r="N862">
        <v>783</v>
      </c>
      <c r="O862">
        <v>13930</v>
      </c>
      <c r="P862" t="s">
        <v>2883</v>
      </c>
    </row>
    <row r="863" spans="1:16" x14ac:dyDescent="0.25">
      <c r="A863" t="s">
        <v>1752</v>
      </c>
      <c r="B863" t="s">
        <v>302</v>
      </c>
      <c r="C863" s="3">
        <v>45798</v>
      </c>
      <c r="D863" t="s">
        <v>1024</v>
      </c>
      <c r="E863">
        <v>59.99</v>
      </c>
      <c r="F863" t="s">
        <v>1042</v>
      </c>
      <c r="G863">
        <v>47</v>
      </c>
      <c r="H863" t="s">
        <v>1410</v>
      </c>
      <c r="I863" t="s">
        <v>1410</v>
      </c>
      <c r="J863">
        <v>638</v>
      </c>
      <c r="K863">
        <v>8</v>
      </c>
      <c r="L863" t="s">
        <v>1022</v>
      </c>
      <c r="M863">
        <v>5704</v>
      </c>
      <c r="N863">
        <v>356</v>
      </c>
      <c r="O863">
        <v>6060</v>
      </c>
      <c r="P863" t="s">
        <v>2883</v>
      </c>
    </row>
    <row r="864" spans="1:16" x14ac:dyDescent="0.25">
      <c r="A864" t="s">
        <v>1884</v>
      </c>
      <c r="B864" t="s">
        <v>336</v>
      </c>
      <c r="C864" s="3">
        <v>43406</v>
      </c>
      <c r="D864" t="s">
        <v>1024</v>
      </c>
      <c r="F864" t="s">
        <v>1086</v>
      </c>
      <c r="G864">
        <v>77</v>
      </c>
      <c r="H864" t="s">
        <v>1835</v>
      </c>
      <c r="I864" t="s">
        <v>1555</v>
      </c>
      <c r="J864">
        <v>636</v>
      </c>
      <c r="K864">
        <v>8</v>
      </c>
      <c r="L864" t="s">
        <v>1022</v>
      </c>
      <c r="M864">
        <v>3679</v>
      </c>
      <c r="N864">
        <v>493</v>
      </c>
      <c r="O864">
        <v>4172</v>
      </c>
      <c r="P864" t="s">
        <v>2883</v>
      </c>
    </row>
    <row r="865" spans="1:16" x14ac:dyDescent="0.25">
      <c r="A865" t="s">
        <v>2316</v>
      </c>
      <c r="B865" t="s">
        <v>505</v>
      </c>
      <c r="C865" s="3">
        <v>45597</v>
      </c>
      <c r="D865" t="s">
        <v>1024</v>
      </c>
      <c r="E865">
        <v>15.99</v>
      </c>
      <c r="F865" t="s">
        <v>1042</v>
      </c>
      <c r="G865">
        <v>15</v>
      </c>
      <c r="H865" t="s">
        <v>2317</v>
      </c>
      <c r="I865" t="s">
        <v>1714</v>
      </c>
      <c r="J865">
        <v>633</v>
      </c>
      <c r="K865">
        <v>9</v>
      </c>
      <c r="L865" t="s">
        <v>2077</v>
      </c>
      <c r="M865">
        <v>3585</v>
      </c>
      <c r="N865">
        <v>152</v>
      </c>
      <c r="O865">
        <v>3737</v>
      </c>
      <c r="P865" t="s">
        <v>2883</v>
      </c>
    </row>
    <row r="866" spans="1:16" x14ac:dyDescent="0.25">
      <c r="A866" t="s">
        <v>2475</v>
      </c>
      <c r="B866" t="s">
        <v>894</v>
      </c>
      <c r="C866" s="3">
        <v>42436</v>
      </c>
      <c r="D866" t="s">
        <v>1024</v>
      </c>
      <c r="E866">
        <v>29.99</v>
      </c>
      <c r="F866" t="s">
        <v>1042</v>
      </c>
      <c r="G866">
        <v>60</v>
      </c>
      <c r="H866" t="s">
        <v>2476</v>
      </c>
      <c r="I866" t="s">
        <v>1212</v>
      </c>
      <c r="J866">
        <v>626</v>
      </c>
      <c r="K866">
        <v>6</v>
      </c>
      <c r="L866" t="s">
        <v>2338</v>
      </c>
      <c r="M866">
        <v>23684</v>
      </c>
      <c r="N866">
        <v>9123</v>
      </c>
      <c r="O866">
        <v>32807</v>
      </c>
      <c r="P866" t="s">
        <v>2883</v>
      </c>
    </row>
    <row r="867" spans="1:16" x14ac:dyDescent="0.25">
      <c r="A867" t="s">
        <v>2685</v>
      </c>
      <c r="B867" t="s">
        <v>487</v>
      </c>
      <c r="C867" s="3">
        <v>42033</v>
      </c>
      <c r="D867" t="s">
        <v>1019</v>
      </c>
      <c r="F867" t="s">
        <v>1113</v>
      </c>
      <c r="G867">
        <v>60</v>
      </c>
      <c r="H867" t="s">
        <v>1895</v>
      </c>
      <c r="I867" t="s">
        <v>1043</v>
      </c>
      <c r="J867">
        <v>621</v>
      </c>
      <c r="K867">
        <v>9</v>
      </c>
      <c r="L867" t="s">
        <v>2077</v>
      </c>
      <c r="M867">
        <v>72976</v>
      </c>
      <c r="N867">
        <v>3458</v>
      </c>
      <c r="O867">
        <v>76434</v>
      </c>
      <c r="P867" t="s">
        <v>2882</v>
      </c>
    </row>
    <row r="868" spans="1:16" x14ac:dyDescent="0.25">
      <c r="A868" t="s">
        <v>2045</v>
      </c>
      <c r="B868" t="s">
        <v>855</v>
      </c>
      <c r="C868" s="3">
        <v>45859</v>
      </c>
      <c r="D868" t="s">
        <v>1024</v>
      </c>
      <c r="E868">
        <v>14.99</v>
      </c>
      <c r="F868" t="s">
        <v>1047</v>
      </c>
      <c r="G868">
        <v>47</v>
      </c>
      <c r="H868" t="s">
        <v>2046</v>
      </c>
      <c r="I868" t="s">
        <v>1394</v>
      </c>
      <c r="J868">
        <v>617</v>
      </c>
      <c r="K868">
        <v>8</v>
      </c>
      <c r="L868" t="s">
        <v>1022</v>
      </c>
      <c r="M868">
        <v>3206</v>
      </c>
      <c r="N868">
        <v>318</v>
      </c>
      <c r="O868">
        <v>3524</v>
      </c>
      <c r="P868" t="s">
        <v>2883</v>
      </c>
    </row>
    <row r="869" spans="1:16" x14ac:dyDescent="0.25">
      <c r="A869" t="s">
        <v>1594</v>
      </c>
      <c r="B869" t="s">
        <v>682</v>
      </c>
      <c r="C869" s="3">
        <v>46066</v>
      </c>
      <c r="D869" t="s">
        <v>1024</v>
      </c>
      <c r="E869">
        <v>39.99</v>
      </c>
      <c r="F869" t="s">
        <v>1113</v>
      </c>
      <c r="G869">
        <v>41</v>
      </c>
      <c r="H869" t="s">
        <v>1595</v>
      </c>
      <c r="I869" t="s">
        <v>1127</v>
      </c>
      <c r="J869">
        <v>615</v>
      </c>
      <c r="K869">
        <v>8</v>
      </c>
      <c r="L869" t="s">
        <v>1022</v>
      </c>
      <c r="M869">
        <v>7356</v>
      </c>
      <c r="N869">
        <v>1796</v>
      </c>
      <c r="O869">
        <v>9152</v>
      </c>
      <c r="P869" t="s">
        <v>2883</v>
      </c>
    </row>
    <row r="870" spans="1:16" x14ac:dyDescent="0.25">
      <c r="A870" t="s">
        <v>1588</v>
      </c>
      <c r="B870" t="s">
        <v>117</v>
      </c>
      <c r="C870" s="3">
        <v>40491</v>
      </c>
      <c r="D870" t="s">
        <v>1024</v>
      </c>
      <c r="E870">
        <v>39.99</v>
      </c>
      <c r="F870" t="s">
        <v>1189</v>
      </c>
      <c r="G870">
        <v>68</v>
      </c>
      <c r="H870" t="s">
        <v>1271</v>
      </c>
      <c r="I870" t="s">
        <v>1272</v>
      </c>
      <c r="J870">
        <v>612</v>
      </c>
      <c r="K870">
        <v>8</v>
      </c>
      <c r="L870" t="s">
        <v>1022</v>
      </c>
      <c r="M870">
        <v>22640</v>
      </c>
      <c r="N870">
        <v>2555</v>
      </c>
      <c r="O870">
        <v>25195</v>
      </c>
      <c r="P870" t="s">
        <v>2883</v>
      </c>
    </row>
    <row r="871" spans="1:16" x14ac:dyDescent="0.25">
      <c r="A871" t="s">
        <v>1603</v>
      </c>
      <c r="B871" t="s">
        <v>536</v>
      </c>
      <c r="C871" s="3">
        <v>46170</v>
      </c>
      <c r="D871" t="s">
        <v>1024</v>
      </c>
      <c r="E871">
        <v>19.989999999999998</v>
      </c>
      <c r="F871" t="s">
        <v>1113</v>
      </c>
      <c r="G871">
        <v>50</v>
      </c>
      <c r="H871" t="s">
        <v>1604</v>
      </c>
      <c r="I871" t="s">
        <v>1604</v>
      </c>
      <c r="J871">
        <v>611</v>
      </c>
      <c r="K871">
        <v>8</v>
      </c>
      <c r="L871" t="s">
        <v>1022</v>
      </c>
      <c r="M871">
        <v>5267</v>
      </c>
      <c r="N871">
        <v>618</v>
      </c>
      <c r="O871">
        <v>5885</v>
      </c>
      <c r="P871" t="s">
        <v>2883</v>
      </c>
    </row>
    <row r="872" spans="1:16" x14ac:dyDescent="0.25">
      <c r="A872" t="s">
        <v>2481</v>
      </c>
      <c r="B872" t="s">
        <v>843</v>
      </c>
      <c r="C872" s="3">
        <v>43279</v>
      </c>
      <c r="D872" t="s">
        <v>1024</v>
      </c>
      <c r="E872">
        <v>29.99</v>
      </c>
      <c r="F872" t="s">
        <v>1178</v>
      </c>
      <c r="G872">
        <v>34</v>
      </c>
      <c r="H872" t="s">
        <v>2482</v>
      </c>
      <c r="I872" t="s">
        <v>1212</v>
      </c>
      <c r="J872">
        <v>608</v>
      </c>
      <c r="K872">
        <v>6</v>
      </c>
      <c r="L872" t="s">
        <v>2338</v>
      </c>
      <c r="M872">
        <v>23804</v>
      </c>
      <c r="N872">
        <v>7499</v>
      </c>
      <c r="O872">
        <v>31303</v>
      </c>
      <c r="P872" t="s">
        <v>2883</v>
      </c>
    </row>
    <row r="873" spans="1:16" x14ac:dyDescent="0.25">
      <c r="A873" t="s">
        <v>1599</v>
      </c>
      <c r="B873" t="s">
        <v>749</v>
      </c>
      <c r="C873" s="3">
        <v>45924</v>
      </c>
      <c r="D873" t="s">
        <v>1024</v>
      </c>
      <c r="E873">
        <v>69.989999999999995</v>
      </c>
      <c r="F873" t="s">
        <v>1113</v>
      </c>
      <c r="G873">
        <v>56</v>
      </c>
      <c r="H873" t="s">
        <v>1600</v>
      </c>
      <c r="I873" t="s">
        <v>1418</v>
      </c>
      <c r="J873">
        <v>602</v>
      </c>
      <c r="K873">
        <v>8</v>
      </c>
      <c r="L873" t="s">
        <v>1022</v>
      </c>
      <c r="M873">
        <v>11269</v>
      </c>
      <c r="N873">
        <v>2590</v>
      </c>
      <c r="O873">
        <v>13859</v>
      </c>
      <c r="P873" t="s">
        <v>2883</v>
      </c>
    </row>
    <row r="874" spans="1:16" x14ac:dyDescent="0.25">
      <c r="A874" t="s">
        <v>1596</v>
      </c>
      <c r="B874" t="s">
        <v>429</v>
      </c>
      <c r="C874" s="3">
        <v>42073</v>
      </c>
      <c r="D874" t="s">
        <v>1024</v>
      </c>
      <c r="E874">
        <v>14.99</v>
      </c>
      <c r="F874" t="s">
        <v>1208</v>
      </c>
      <c r="G874">
        <v>29</v>
      </c>
      <c r="H874" t="s">
        <v>1597</v>
      </c>
      <c r="I874" t="s">
        <v>1598</v>
      </c>
      <c r="J874">
        <v>598</v>
      </c>
      <c r="K874">
        <v>8</v>
      </c>
      <c r="L874" t="s">
        <v>1022</v>
      </c>
      <c r="M874">
        <v>26519</v>
      </c>
      <c r="N874">
        <v>2309</v>
      </c>
      <c r="O874">
        <v>28828</v>
      </c>
      <c r="P874" t="s">
        <v>2883</v>
      </c>
    </row>
    <row r="875" spans="1:16" x14ac:dyDescent="0.25">
      <c r="A875" t="s">
        <v>2686</v>
      </c>
      <c r="B875" t="s">
        <v>579</v>
      </c>
      <c r="C875" s="3">
        <v>44467</v>
      </c>
      <c r="D875" t="s">
        <v>1024</v>
      </c>
      <c r="F875" t="s">
        <v>1042</v>
      </c>
      <c r="G875">
        <v>133</v>
      </c>
      <c r="H875" t="s">
        <v>2687</v>
      </c>
      <c r="I875" t="s">
        <v>2687</v>
      </c>
      <c r="J875">
        <v>596</v>
      </c>
      <c r="K875">
        <v>5</v>
      </c>
      <c r="L875" t="s">
        <v>2514</v>
      </c>
      <c r="M875">
        <v>113525</v>
      </c>
      <c r="N875">
        <v>56971</v>
      </c>
      <c r="O875">
        <v>170496</v>
      </c>
      <c r="P875" t="s">
        <v>2883</v>
      </c>
    </row>
    <row r="876" spans="1:16" x14ac:dyDescent="0.25">
      <c r="A876" t="s">
        <v>1589</v>
      </c>
      <c r="B876" t="s">
        <v>588</v>
      </c>
      <c r="C876" s="3">
        <v>44762</v>
      </c>
      <c r="D876" t="s">
        <v>1024</v>
      </c>
      <c r="E876">
        <v>59.99</v>
      </c>
      <c r="F876" t="s">
        <v>1110</v>
      </c>
      <c r="G876">
        <v>51</v>
      </c>
      <c r="H876" t="s">
        <v>1590</v>
      </c>
      <c r="I876" t="s">
        <v>1590</v>
      </c>
      <c r="J876">
        <v>593</v>
      </c>
      <c r="K876">
        <v>8</v>
      </c>
      <c r="L876" t="s">
        <v>1022</v>
      </c>
      <c r="M876">
        <v>173</v>
      </c>
      <c r="N876">
        <v>37</v>
      </c>
      <c r="O876">
        <v>210</v>
      </c>
      <c r="P876" t="s">
        <v>2883</v>
      </c>
    </row>
    <row r="877" spans="1:16" x14ac:dyDescent="0.25">
      <c r="A877" t="s">
        <v>2477</v>
      </c>
      <c r="B877" t="s">
        <v>449</v>
      </c>
      <c r="C877" s="3">
        <v>44732</v>
      </c>
      <c r="D877" t="s">
        <v>1024</v>
      </c>
      <c r="E877">
        <v>6.99</v>
      </c>
      <c r="F877" t="s">
        <v>1026</v>
      </c>
      <c r="G877">
        <v>30</v>
      </c>
      <c r="H877" t="s">
        <v>2478</v>
      </c>
      <c r="I877" t="s">
        <v>2478</v>
      </c>
      <c r="J877">
        <v>591</v>
      </c>
      <c r="K877">
        <v>6</v>
      </c>
      <c r="L877" t="s">
        <v>2338</v>
      </c>
      <c r="M877">
        <v>10225</v>
      </c>
      <c r="N877">
        <v>2854</v>
      </c>
      <c r="O877">
        <v>13079</v>
      </c>
      <c r="P877" t="s">
        <v>2883</v>
      </c>
    </row>
    <row r="878" spans="1:16" x14ac:dyDescent="0.25">
      <c r="A878" t="s">
        <v>1759</v>
      </c>
      <c r="B878" t="s">
        <v>543</v>
      </c>
      <c r="C878" s="3">
        <v>46093</v>
      </c>
      <c r="D878" t="s">
        <v>1024</v>
      </c>
      <c r="E878">
        <v>69.989999999999995</v>
      </c>
      <c r="F878" t="s">
        <v>1042</v>
      </c>
      <c r="G878">
        <v>52</v>
      </c>
      <c r="H878" t="s">
        <v>1233</v>
      </c>
      <c r="I878" t="s">
        <v>1233</v>
      </c>
      <c r="J878">
        <v>589</v>
      </c>
      <c r="K878">
        <v>8</v>
      </c>
      <c r="L878" t="s">
        <v>1022</v>
      </c>
      <c r="M878">
        <v>2636</v>
      </c>
      <c r="N878">
        <v>617</v>
      </c>
      <c r="O878">
        <v>3253</v>
      </c>
      <c r="P878" t="s">
        <v>2883</v>
      </c>
    </row>
    <row r="879" spans="1:16" x14ac:dyDescent="0.25">
      <c r="A879" t="s">
        <v>2863</v>
      </c>
      <c r="B879" t="s">
        <v>198</v>
      </c>
      <c r="C879" s="3">
        <v>43661</v>
      </c>
      <c r="D879" t="s">
        <v>1019</v>
      </c>
      <c r="F879" t="s">
        <v>1020</v>
      </c>
      <c r="G879">
        <v>141</v>
      </c>
      <c r="H879" t="s">
        <v>2864</v>
      </c>
      <c r="I879" t="s">
        <v>2864</v>
      </c>
      <c r="J879">
        <v>587</v>
      </c>
      <c r="K879">
        <v>6</v>
      </c>
      <c r="L879" t="s">
        <v>2338</v>
      </c>
      <c r="M879">
        <v>7760</v>
      </c>
      <c r="N879">
        <v>3295</v>
      </c>
      <c r="O879">
        <v>11055</v>
      </c>
      <c r="P879" t="s">
        <v>2882</v>
      </c>
    </row>
    <row r="880" spans="1:16" x14ac:dyDescent="0.25">
      <c r="A880" t="s">
        <v>1601</v>
      </c>
      <c r="B880" t="s">
        <v>591</v>
      </c>
      <c r="C880" s="3">
        <v>45491</v>
      </c>
      <c r="D880" t="s">
        <v>1024</v>
      </c>
      <c r="E880">
        <v>29.99</v>
      </c>
      <c r="F880" t="s">
        <v>1026</v>
      </c>
      <c r="G880">
        <v>25</v>
      </c>
      <c r="H880" t="s">
        <v>1602</v>
      </c>
      <c r="I880" t="s">
        <v>1254</v>
      </c>
      <c r="J880">
        <v>585</v>
      </c>
      <c r="K880">
        <v>8</v>
      </c>
      <c r="L880" t="s">
        <v>1022</v>
      </c>
      <c r="M880">
        <v>2623</v>
      </c>
      <c r="N880">
        <v>560</v>
      </c>
      <c r="O880">
        <v>3183</v>
      </c>
      <c r="P880" t="s">
        <v>2883</v>
      </c>
    </row>
    <row r="881" spans="1:16" x14ac:dyDescent="0.25">
      <c r="A881" t="s">
        <v>2041</v>
      </c>
      <c r="B881" t="s">
        <v>997</v>
      </c>
      <c r="C881" s="3">
        <v>46093</v>
      </c>
      <c r="D881" t="s">
        <v>1024</v>
      </c>
      <c r="E881">
        <v>19.989999999999998</v>
      </c>
      <c r="F881" t="s">
        <v>1047</v>
      </c>
      <c r="G881">
        <v>40</v>
      </c>
      <c r="H881" t="s">
        <v>2042</v>
      </c>
      <c r="I881" t="s">
        <v>2043</v>
      </c>
      <c r="J881">
        <v>585</v>
      </c>
      <c r="K881">
        <v>8</v>
      </c>
      <c r="L881" t="s">
        <v>1022</v>
      </c>
      <c r="M881">
        <v>104</v>
      </c>
      <c r="N881">
        <v>11</v>
      </c>
      <c r="O881">
        <v>115</v>
      </c>
      <c r="P881" t="s">
        <v>2883</v>
      </c>
    </row>
    <row r="882" spans="1:16" x14ac:dyDescent="0.25">
      <c r="A882" t="s">
        <v>2602</v>
      </c>
      <c r="B882" t="s">
        <v>719</v>
      </c>
      <c r="C882" s="3">
        <v>46140</v>
      </c>
      <c r="D882" t="s">
        <v>1024</v>
      </c>
      <c r="E882">
        <v>19.989999999999998</v>
      </c>
      <c r="F882" t="s">
        <v>1047</v>
      </c>
      <c r="H882" t="s">
        <v>1664</v>
      </c>
      <c r="I882" t="s">
        <v>1664</v>
      </c>
      <c r="J882">
        <v>579</v>
      </c>
      <c r="K882">
        <v>5</v>
      </c>
      <c r="L882" t="s">
        <v>2514</v>
      </c>
      <c r="M882">
        <v>3593</v>
      </c>
      <c r="N882">
        <v>2417</v>
      </c>
      <c r="O882">
        <v>6010</v>
      </c>
      <c r="P882" t="s">
        <v>2883</v>
      </c>
    </row>
    <row r="883" spans="1:16" x14ac:dyDescent="0.25">
      <c r="A883" t="s">
        <v>2044</v>
      </c>
      <c r="B883" t="s">
        <v>257</v>
      </c>
      <c r="C883" s="3">
        <v>45673</v>
      </c>
      <c r="D883" t="s">
        <v>1024</v>
      </c>
      <c r="E883">
        <v>69.989999999999995</v>
      </c>
      <c r="F883" t="s">
        <v>1047</v>
      </c>
      <c r="G883">
        <v>56</v>
      </c>
      <c r="H883" t="s">
        <v>1590</v>
      </c>
      <c r="I883" t="s">
        <v>1590</v>
      </c>
      <c r="J883">
        <v>575</v>
      </c>
      <c r="K883">
        <v>8</v>
      </c>
      <c r="L883" t="s">
        <v>1022</v>
      </c>
      <c r="M883">
        <v>4709</v>
      </c>
      <c r="N883">
        <v>395</v>
      </c>
      <c r="O883">
        <v>5104</v>
      </c>
      <c r="P883" t="s">
        <v>2883</v>
      </c>
    </row>
    <row r="884" spans="1:16" x14ac:dyDescent="0.25">
      <c r="A884" t="s">
        <v>1191</v>
      </c>
      <c r="B884" t="s">
        <v>163</v>
      </c>
      <c r="C884" s="3">
        <v>44858</v>
      </c>
      <c r="D884" t="s">
        <v>1024</v>
      </c>
      <c r="E884">
        <v>19.989999999999998</v>
      </c>
      <c r="F884" t="s">
        <v>1026</v>
      </c>
      <c r="H884" t="s">
        <v>1192</v>
      </c>
      <c r="I884" t="s">
        <v>1192</v>
      </c>
      <c r="J884">
        <v>573</v>
      </c>
      <c r="K884">
        <v>8</v>
      </c>
      <c r="L884" t="s">
        <v>1022</v>
      </c>
      <c r="M884">
        <v>7655</v>
      </c>
      <c r="N884">
        <v>438</v>
      </c>
      <c r="O884">
        <v>8093</v>
      </c>
      <c r="P884" t="s">
        <v>2883</v>
      </c>
    </row>
    <row r="885" spans="1:16" x14ac:dyDescent="0.25">
      <c r="A885" t="s">
        <v>2483</v>
      </c>
      <c r="B885" t="s">
        <v>307</v>
      </c>
      <c r="C885" s="3">
        <v>43511</v>
      </c>
      <c r="D885" t="s">
        <v>1024</v>
      </c>
      <c r="E885">
        <v>39.99</v>
      </c>
      <c r="F885" t="s">
        <v>1113</v>
      </c>
      <c r="G885">
        <v>50</v>
      </c>
      <c r="H885" t="s">
        <v>1345</v>
      </c>
      <c r="I885" t="s">
        <v>1212</v>
      </c>
      <c r="J885">
        <v>569</v>
      </c>
      <c r="K885">
        <v>6</v>
      </c>
      <c r="L885" t="s">
        <v>2338</v>
      </c>
      <c r="M885">
        <v>11478</v>
      </c>
      <c r="N885">
        <v>3876</v>
      </c>
      <c r="O885">
        <v>15354</v>
      </c>
      <c r="P885" t="s">
        <v>2883</v>
      </c>
    </row>
    <row r="886" spans="1:16" x14ac:dyDescent="0.25">
      <c r="A886" t="s">
        <v>2318</v>
      </c>
      <c r="B886" t="s">
        <v>182</v>
      </c>
      <c r="C886" s="3">
        <v>42418</v>
      </c>
      <c r="D886" t="s">
        <v>1024</v>
      </c>
      <c r="E886">
        <v>19.989999999999998</v>
      </c>
      <c r="F886" t="s">
        <v>1113</v>
      </c>
      <c r="G886">
        <v>38</v>
      </c>
      <c r="H886" t="s">
        <v>1559</v>
      </c>
      <c r="I886" t="s">
        <v>1559</v>
      </c>
      <c r="J886">
        <v>568</v>
      </c>
      <c r="K886">
        <v>9</v>
      </c>
      <c r="L886" t="s">
        <v>2077</v>
      </c>
      <c r="M886">
        <v>17866</v>
      </c>
      <c r="N886">
        <v>800</v>
      </c>
      <c r="O886">
        <v>18666</v>
      </c>
      <c r="P886" t="s">
        <v>2883</v>
      </c>
    </row>
    <row r="887" spans="1:16" x14ac:dyDescent="0.25">
      <c r="A887" t="s">
        <v>2320</v>
      </c>
      <c r="B887" t="s">
        <v>923</v>
      </c>
      <c r="C887" s="3">
        <v>42433</v>
      </c>
      <c r="D887" t="s">
        <v>1024</v>
      </c>
      <c r="E887">
        <v>14.99</v>
      </c>
      <c r="F887" t="s">
        <v>1208</v>
      </c>
      <c r="G887">
        <v>31</v>
      </c>
      <c r="H887" t="s">
        <v>2321</v>
      </c>
      <c r="I887" t="s">
        <v>2321</v>
      </c>
      <c r="J887">
        <v>566</v>
      </c>
      <c r="K887">
        <v>9</v>
      </c>
      <c r="L887" t="s">
        <v>2077</v>
      </c>
      <c r="M887">
        <v>19198</v>
      </c>
      <c r="N887">
        <v>696</v>
      </c>
      <c r="O887">
        <v>19894</v>
      </c>
      <c r="P887" t="s">
        <v>2883</v>
      </c>
    </row>
    <row r="888" spans="1:16" x14ac:dyDescent="0.25">
      <c r="A888" t="s">
        <v>2865</v>
      </c>
      <c r="B888" t="s">
        <v>311</v>
      </c>
      <c r="C888" s="3">
        <v>45190</v>
      </c>
      <c r="D888" t="s">
        <v>1019</v>
      </c>
      <c r="F888" t="s">
        <v>1020</v>
      </c>
      <c r="H888" t="s">
        <v>2866</v>
      </c>
      <c r="I888" t="s">
        <v>2866</v>
      </c>
      <c r="J888">
        <v>565</v>
      </c>
      <c r="K888">
        <v>6</v>
      </c>
      <c r="L888" t="s">
        <v>2338</v>
      </c>
      <c r="M888">
        <v>14414</v>
      </c>
      <c r="N888">
        <v>5360</v>
      </c>
      <c r="O888">
        <v>19774</v>
      </c>
      <c r="P888" t="s">
        <v>2882</v>
      </c>
    </row>
    <row r="889" spans="1:16" x14ac:dyDescent="0.25">
      <c r="A889" t="s">
        <v>2867</v>
      </c>
      <c r="B889" t="s">
        <v>194</v>
      </c>
      <c r="C889" s="3">
        <v>40849</v>
      </c>
      <c r="D889" t="s">
        <v>1019</v>
      </c>
      <c r="F889" t="s">
        <v>1020</v>
      </c>
      <c r="G889">
        <v>202</v>
      </c>
      <c r="H889" t="s">
        <v>2868</v>
      </c>
      <c r="I889" t="s">
        <v>1199</v>
      </c>
      <c r="J889">
        <v>564</v>
      </c>
      <c r="K889">
        <v>6</v>
      </c>
      <c r="L889" t="s">
        <v>2338</v>
      </c>
      <c r="M889">
        <v>10042</v>
      </c>
      <c r="N889">
        <v>2637</v>
      </c>
      <c r="O889">
        <v>12679</v>
      </c>
      <c r="P889" t="s">
        <v>2882</v>
      </c>
    </row>
    <row r="890" spans="1:16" x14ac:dyDescent="0.25">
      <c r="A890" t="s">
        <v>1760</v>
      </c>
      <c r="B890" t="s">
        <v>329</v>
      </c>
      <c r="C890" s="3">
        <v>43165</v>
      </c>
      <c r="D890" t="s">
        <v>1024</v>
      </c>
      <c r="E890">
        <v>34.99</v>
      </c>
      <c r="F890" t="s">
        <v>1042</v>
      </c>
      <c r="G890">
        <v>97</v>
      </c>
      <c r="H890" t="s">
        <v>1043</v>
      </c>
      <c r="I890" t="s">
        <v>1043</v>
      </c>
      <c r="J890">
        <v>558</v>
      </c>
      <c r="K890">
        <v>8</v>
      </c>
      <c r="L890" t="s">
        <v>1022</v>
      </c>
      <c r="M890">
        <v>18388</v>
      </c>
      <c r="N890">
        <v>3894</v>
      </c>
      <c r="O890">
        <v>22282</v>
      </c>
      <c r="P890" t="s">
        <v>2883</v>
      </c>
    </row>
    <row r="891" spans="1:16" x14ac:dyDescent="0.25">
      <c r="A891" t="s">
        <v>1758</v>
      </c>
      <c r="B891" t="s">
        <v>583</v>
      </c>
      <c r="C891" s="3">
        <v>44232</v>
      </c>
      <c r="D891" t="s">
        <v>1024</v>
      </c>
      <c r="E891">
        <v>49.99</v>
      </c>
      <c r="F891" t="s">
        <v>1042</v>
      </c>
      <c r="G891">
        <v>88</v>
      </c>
      <c r="H891" t="s">
        <v>1590</v>
      </c>
      <c r="I891" t="s">
        <v>1590</v>
      </c>
      <c r="J891">
        <v>556</v>
      </c>
      <c r="K891">
        <v>8</v>
      </c>
      <c r="L891" t="s">
        <v>1022</v>
      </c>
      <c r="M891">
        <v>13661</v>
      </c>
      <c r="N891">
        <v>1425</v>
      </c>
      <c r="O891">
        <v>15086</v>
      </c>
      <c r="P891" t="s">
        <v>2883</v>
      </c>
    </row>
    <row r="892" spans="1:16" x14ac:dyDescent="0.25">
      <c r="A892" t="s">
        <v>1763</v>
      </c>
      <c r="B892" t="s">
        <v>243</v>
      </c>
      <c r="C892" s="3">
        <v>42384</v>
      </c>
      <c r="D892" t="s">
        <v>1024</v>
      </c>
      <c r="E892">
        <v>29.99</v>
      </c>
      <c r="F892" t="s">
        <v>1042</v>
      </c>
      <c r="G892">
        <v>59</v>
      </c>
      <c r="H892" t="s">
        <v>1473</v>
      </c>
      <c r="I892" t="s">
        <v>1473</v>
      </c>
      <c r="J892">
        <v>556</v>
      </c>
      <c r="K892">
        <v>8</v>
      </c>
      <c r="L892" t="s">
        <v>1022</v>
      </c>
      <c r="M892">
        <v>25002</v>
      </c>
      <c r="N892">
        <v>3237</v>
      </c>
      <c r="O892">
        <v>28239</v>
      </c>
      <c r="P892" t="s">
        <v>2883</v>
      </c>
    </row>
    <row r="893" spans="1:16" x14ac:dyDescent="0.25">
      <c r="A893" t="s">
        <v>1885</v>
      </c>
      <c r="B893" t="s">
        <v>993</v>
      </c>
      <c r="C893" s="3">
        <v>44783</v>
      </c>
      <c r="D893" t="s">
        <v>1019</v>
      </c>
      <c r="F893" t="s">
        <v>1020</v>
      </c>
      <c r="G893">
        <v>27</v>
      </c>
      <c r="H893" t="s">
        <v>1886</v>
      </c>
      <c r="I893" t="s">
        <v>1886</v>
      </c>
      <c r="J893">
        <v>553</v>
      </c>
      <c r="K893">
        <v>8</v>
      </c>
      <c r="L893" t="s">
        <v>1022</v>
      </c>
      <c r="M893">
        <v>436</v>
      </c>
      <c r="N893">
        <v>101</v>
      </c>
      <c r="O893">
        <v>537</v>
      </c>
      <c r="P893" t="s">
        <v>2882</v>
      </c>
    </row>
    <row r="894" spans="1:16" x14ac:dyDescent="0.25">
      <c r="A894" t="s">
        <v>1591</v>
      </c>
      <c r="B894" t="s">
        <v>417</v>
      </c>
      <c r="C894" s="3">
        <v>45245</v>
      </c>
      <c r="D894" t="s">
        <v>1024</v>
      </c>
      <c r="E894">
        <v>17.989999999999998</v>
      </c>
      <c r="F894" t="s">
        <v>1110</v>
      </c>
      <c r="G894">
        <v>170</v>
      </c>
      <c r="H894" t="s">
        <v>1592</v>
      </c>
      <c r="I894" t="s">
        <v>1593</v>
      </c>
      <c r="J894">
        <v>551</v>
      </c>
      <c r="K894">
        <v>8</v>
      </c>
      <c r="L894" t="s">
        <v>1022</v>
      </c>
      <c r="M894">
        <v>1911</v>
      </c>
      <c r="N894">
        <v>127</v>
      </c>
      <c r="O894">
        <v>2038</v>
      </c>
      <c r="P894" t="s">
        <v>2883</v>
      </c>
    </row>
    <row r="895" spans="1:16" x14ac:dyDescent="0.25">
      <c r="A895" t="s">
        <v>2487</v>
      </c>
      <c r="B895" t="s">
        <v>865</v>
      </c>
      <c r="C895" s="3">
        <v>45959</v>
      </c>
      <c r="D895" t="s">
        <v>1024</v>
      </c>
      <c r="E895">
        <v>69.989999999999995</v>
      </c>
      <c r="F895" t="s">
        <v>1042</v>
      </c>
      <c r="G895">
        <v>48</v>
      </c>
      <c r="H895" t="s">
        <v>1105</v>
      </c>
      <c r="I895" t="s">
        <v>1106</v>
      </c>
      <c r="J895">
        <v>549</v>
      </c>
      <c r="K895">
        <v>6</v>
      </c>
      <c r="L895" t="s">
        <v>2338</v>
      </c>
      <c r="M895">
        <v>4665</v>
      </c>
      <c r="N895">
        <v>1603</v>
      </c>
      <c r="O895">
        <v>6268</v>
      </c>
      <c r="P895" t="s">
        <v>2883</v>
      </c>
    </row>
    <row r="896" spans="1:16" x14ac:dyDescent="0.25">
      <c r="A896" t="s">
        <v>2599</v>
      </c>
      <c r="B896" t="s">
        <v>570</v>
      </c>
      <c r="C896" s="3">
        <v>45343</v>
      </c>
      <c r="D896" t="s">
        <v>1024</v>
      </c>
      <c r="E896">
        <v>29.99</v>
      </c>
      <c r="F896" t="s">
        <v>2892</v>
      </c>
      <c r="G896">
        <v>94</v>
      </c>
      <c r="H896" t="s">
        <v>2600</v>
      </c>
      <c r="I896" t="s">
        <v>2601</v>
      </c>
      <c r="J896">
        <v>548</v>
      </c>
      <c r="K896">
        <v>5</v>
      </c>
      <c r="L896" t="s">
        <v>2514</v>
      </c>
      <c r="M896">
        <v>2684</v>
      </c>
      <c r="N896">
        <v>1156</v>
      </c>
      <c r="O896">
        <v>3840</v>
      </c>
      <c r="P896" t="s">
        <v>2883</v>
      </c>
    </row>
    <row r="897" spans="1:16" x14ac:dyDescent="0.25">
      <c r="A897" t="s">
        <v>1764</v>
      </c>
      <c r="B897" t="s">
        <v>642</v>
      </c>
      <c r="C897" s="3">
        <v>42089</v>
      </c>
      <c r="D897" t="s">
        <v>1024</v>
      </c>
      <c r="E897">
        <v>29.99</v>
      </c>
      <c r="F897" t="s">
        <v>1042</v>
      </c>
      <c r="G897">
        <v>48</v>
      </c>
      <c r="H897" t="s">
        <v>1105</v>
      </c>
      <c r="I897" t="s">
        <v>1106</v>
      </c>
      <c r="J897">
        <v>546</v>
      </c>
      <c r="K897">
        <v>8</v>
      </c>
      <c r="L897" t="s">
        <v>1022</v>
      </c>
      <c r="M897">
        <v>14055</v>
      </c>
      <c r="N897">
        <v>2014</v>
      </c>
      <c r="O897">
        <v>16069</v>
      </c>
      <c r="P897" t="s">
        <v>2883</v>
      </c>
    </row>
    <row r="898" spans="1:16" x14ac:dyDescent="0.25">
      <c r="A898" t="s">
        <v>1608</v>
      </c>
      <c r="B898" t="s">
        <v>970</v>
      </c>
      <c r="C898" s="3">
        <v>41778</v>
      </c>
      <c r="D898" t="s">
        <v>1024</v>
      </c>
      <c r="E898">
        <v>19.989999999999998</v>
      </c>
      <c r="F898" t="s">
        <v>1189</v>
      </c>
      <c r="G898">
        <v>50</v>
      </c>
      <c r="H898" t="s">
        <v>1581</v>
      </c>
      <c r="I898" t="s">
        <v>1051</v>
      </c>
      <c r="J898">
        <v>540</v>
      </c>
      <c r="K898">
        <v>8</v>
      </c>
      <c r="L898" t="s">
        <v>1022</v>
      </c>
      <c r="M898">
        <v>30536</v>
      </c>
      <c r="N898">
        <v>3263</v>
      </c>
      <c r="O898">
        <v>33799</v>
      </c>
      <c r="P898" t="s">
        <v>2883</v>
      </c>
    </row>
    <row r="899" spans="1:16" x14ac:dyDescent="0.25">
      <c r="A899" t="s">
        <v>1609</v>
      </c>
      <c r="B899" t="s">
        <v>658</v>
      </c>
      <c r="C899" s="3">
        <v>44908</v>
      </c>
      <c r="D899" t="s">
        <v>1024</v>
      </c>
      <c r="E899">
        <v>19.989999999999998</v>
      </c>
      <c r="F899" t="s">
        <v>1110</v>
      </c>
      <c r="G899">
        <v>29</v>
      </c>
      <c r="H899" t="s">
        <v>1610</v>
      </c>
      <c r="I899" t="s">
        <v>1394</v>
      </c>
      <c r="J899">
        <v>540</v>
      </c>
      <c r="K899">
        <v>8</v>
      </c>
      <c r="L899" t="s">
        <v>1022</v>
      </c>
      <c r="M899">
        <v>17757</v>
      </c>
      <c r="N899">
        <v>1293</v>
      </c>
      <c r="O899">
        <v>19050</v>
      </c>
      <c r="P899" t="s">
        <v>2883</v>
      </c>
    </row>
    <row r="900" spans="1:16" x14ac:dyDescent="0.25">
      <c r="A900" t="s">
        <v>2049</v>
      </c>
      <c r="B900" t="s">
        <v>64</v>
      </c>
      <c r="C900" s="3">
        <v>41688</v>
      </c>
      <c r="D900" t="s">
        <v>1024</v>
      </c>
      <c r="E900">
        <v>19.989999999999998</v>
      </c>
      <c r="F900" t="s">
        <v>1047</v>
      </c>
      <c r="G900">
        <v>36</v>
      </c>
      <c r="H900" t="s">
        <v>2050</v>
      </c>
      <c r="I900" t="s">
        <v>2050</v>
      </c>
      <c r="J900">
        <v>537</v>
      </c>
      <c r="K900">
        <v>8</v>
      </c>
      <c r="L900" t="s">
        <v>1022</v>
      </c>
      <c r="M900">
        <v>26456</v>
      </c>
      <c r="N900">
        <v>2841</v>
      </c>
      <c r="O900">
        <v>29297</v>
      </c>
      <c r="P900" t="s">
        <v>2883</v>
      </c>
    </row>
    <row r="901" spans="1:16" x14ac:dyDescent="0.25">
      <c r="A901" t="s">
        <v>2603</v>
      </c>
      <c r="B901" t="s">
        <v>435</v>
      </c>
      <c r="C901" s="3">
        <v>44425</v>
      </c>
      <c r="D901" t="s">
        <v>1024</v>
      </c>
      <c r="E901">
        <v>49.99</v>
      </c>
      <c r="F901" t="s">
        <v>1047</v>
      </c>
      <c r="G901">
        <v>99</v>
      </c>
      <c r="H901" t="s">
        <v>2058</v>
      </c>
      <c r="I901" t="s">
        <v>2058</v>
      </c>
      <c r="J901">
        <v>536</v>
      </c>
      <c r="K901">
        <v>5</v>
      </c>
      <c r="L901" t="s">
        <v>2514</v>
      </c>
      <c r="M901">
        <v>10432</v>
      </c>
      <c r="N901">
        <v>4718</v>
      </c>
      <c r="O901">
        <v>15150</v>
      </c>
      <c r="P901" t="s">
        <v>2883</v>
      </c>
    </row>
    <row r="902" spans="1:16" x14ac:dyDescent="0.25">
      <c r="A902" t="s">
        <v>2869</v>
      </c>
      <c r="B902" t="s">
        <v>252</v>
      </c>
      <c r="C902" s="3">
        <v>42906</v>
      </c>
      <c r="D902" t="s">
        <v>1019</v>
      </c>
      <c r="F902" t="s">
        <v>1020</v>
      </c>
      <c r="G902">
        <v>18</v>
      </c>
      <c r="H902" t="s">
        <v>2074</v>
      </c>
      <c r="I902" t="s">
        <v>2074</v>
      </c>
      <c r="J902">
        <v>532</v>
      </c>
      <c r="K902">
        <v>6</v>
      </c>
      <c r="L902" t="s">
        <v>2338</v>
      </c>
      <c r="M902">
        <v>9905</v>
      </c>
      <c r="N902">
        <v>3493</v>
      </c>
      <c r="O902">
        <v>13398</v>
      </c>
      <c r="P902" t="s">
        <v>2882</v>
      </c>
    </row>
    <row r="903" spans="1:16" x14ac:dyDescent="0.25">
      <c r="A903" t="s">
        <v>1765</v>
      </c>
      <c r="B903" t="s">
        <v>240</v>
      </c>
      <c r="C903" s="3">
        <v>43846</v>
      </c>
      <c r="D903" t="s">
        <v>1024</v>
      </c>
      <c r="E903">
        <v>19.989999999999998</v>
      </c>
      <c r="F903" t="s">
        <v>1042</v>
      </c>
      <c r="G903">
        <v>42</v>
      </c>
      <c r="H903" t="s">
        <v>1766</v>
      </c>
      <c r="I903" t="s">
        <v>1728</v>
      </c>
      <c r="J903">
        <v>526</v>
      </c>
      <c r="K903">
        <v>8</v>
      </c>
      <c r="L903" t="s">
        <v>1022</v>
      </c>
      <c r="M903">
        <v>20882</v>
      </c>
      <c r="N903">
        <v>1705</v>
      </c>
      <c r="O903">
        <v>22587</v>
      </c>
      <c r="P903" t="s">
        <v>2883</v>
      </c>
    </row>
    <row r="904" spans="1:16" x14ac:dyDescent="0.25">
      <c r="A904" t="s">
        <v>2319</v>
      </c>
      <c r="B904" t="s">
        <v>607</v>
      </c>
      <c r="C904" s="3">
        <v>43900</v>
      </c>
      <c r="D904" t="s">
        <v>1024</v>
      </c>
      <c r="E904">
        <v>29.99</v>
      </c>
      <c r="F904" t="s">
        <v>1189</v>
      </c>
      <c r="G904">
        <v>37</v>
      </c>
      <c r="H904" t="s">
        <v>1103</v>
      </c>
      <c r="I904" t="s">
        <v>1106</v>
      </c>
      <c r="J904">
        <v>524</v>
      </c>
      <c r="K904">
        <v>9</v>
      </c>
      <c r="L904" t="s">
        <v>2077</v>
      </c>
      <c r="M904">
        <v>31980</v>
      </c>
      <c r="N904">
        <v>1048</v>
      </c>
      <c r="O904">
        <v>33028</v>
      </c>
      <c r="P904" t="s">
        <v>2883</v>
      </c>
    </row>
    <row r="905" spans="1:16" x14ac:dyDescent="0.25">
      <c r="A905" t="s">
        <v>2047</v>
      </c>
      <c r="B905" t="s">
        <v>672</v>
      </c>
      <c r="C905" s="3">
        <v>46034</v>
      </c>
      <c r="D905" t="s">
        <v>1024</v>
      </c>
      <c r="E905">
        <v>19.989999999999998</v>
      </c>
      <c r="F905" t="s">
        <v>1047</v>
      </c>
      <c r="G905">
        <v>25</v>
      </c>
      <c r="H905" t="s">
        <v>2048</v>
      </c>
      <c r="I905" t="s">
        <v>1598</v>
      </c>
      <c r="J905">
        <v>523</v>
      </c>
      <c r="K905">
        <v>8</v>
      </c>
      <c r="L905" t="s">
        <v>1022</v>
      </c>
      <c r="M905">
        <v>4850</v>
      </c>
      <c r="N905">
        <v>1070</v>
      </c>
      <c r="O905">
        <v>5920</v>
      </c>
      <c r="P905" t="s">
        <v>2883</v>
      </c>
    </row>
    <row r="906" spans="1:16" x14ac:dyDescent="0.25">
      <c r="A906" t="s">
        <v>1761</v>
      </c>
      <c r="B906" t="s">
        <v>771</v>
      </c>
      <c r="C906" s="3">
        <v>45825</v>
      </c>
      <c r="D906" t="s">
        <v>1024</v>
      </c>
      <c r="E906">
        <v>14.99</v>
      </c>
      <c r="F906" t="s">
        <v>1042</v>
      </c>
      <c r="G906">
        <v>483</v>
      </c>
      <c r="H906" t="s">
        <v>1762</v>
      </c>
      <c r="I906" t="s">
        <v>1762</v>
      </c>
      <c r="J906">
        <v>520</v>
      </c>
      <c r="K906">
        <v>8</v>
      </c>
      <c r="L906" t="s">
        <v>1022</v>
      </c>
      <c r="M906">
        <v>11680</v>
      </c>
      <c r="N906">
        <v>1050</v>
      </c>
      <c r="O906">
        <v>12730</v>
      </c>
      <c r="P906" t="s">
        <v>2883</v>
      </c>
    </row>
    <row r="907" spans="1:16" x14ac:dyDescent="0.25">
      <c r="A907" t="s">
        <v>2056</v>
      </c>
      <c r="B907" t="s">
        <v>513</v>
      </c>
      <c r="C907" s="3">
        <v>44896</v>
      </c>
      <c r="D907" t="s">
        <v>1024</v>
      </c>
      <c r="E907">
        <v>59.99</v>
      </c>
      <c r="F907" t="s">
        <v>1047</v>
      </c>
      <c r="G907">
        <v>72</v>
      </c>
      <c r="H907" t="s">
        <v>1122</v>
      </c>
      <c r="I907" t="s">
        <v>1123</v>
      </c>
      <c r="J907">
        <v>519</v>
      </c>
      <c r="K907">
        <v>8</v>
      </c>
      <c r="L907" t="s">
        <v>1022</v>
      </c>
      <c r="M907">
        <v>13176</v>
      </c>
      <c r="N907">
        <v>2825</v>
      </c>
      <c r="O907">
        <v>16001</v>
      </c>
      <c r="P907" t="s">
        <v>2883</v>
      </c>
    </row>
    <row r="908" spans="1:16" x14ac:dyDescent="0.25">
      <c r="A908" t="s">
        <v>1887</v>
      </c>
      <c r="B908" t="s">
        <v>296</v>
      </c>
      <c r="C908" s="3">
        <v>44046</v>
      </c>
      <c r="D908" t="s">
        <v>1024</v>
      </c>
      <c r="F908" t="s">
        <v>1086</v>
      </c>
      <c r="G908">
        <v>34</v>
      </c>
      <c r="H908" t="s">
        <v>1888</v>
      </c>
      <c r="I908" t="s">
        <v>1002</v>
      </c>
      <c r="J908">
        <v>515</v>
      </c>
      <c r="K908">
        <v>8</v>
      </c>
      <c r="L908" t="s">
        <v>1022</v>
      </c>
      <c r="M908">
        <v>139064</v>
      </c>
      <c r="N908">
        <v>28109</v>
      </c>
      <c r="O908">
        <v>167173</v>
      </c>
      <c r="P908" t="s">
        <v>2883</v>
      </c>
    </row>
    <row r="909" spans="1:16" x14ac:dyDescent="0.25">
      <c r="A909" t="s">
        <v>1615</v>
      </c>
      <c r="B909" t="s">
        <v>314</v>
      </c>
      <c r="C909" s="3">
        <v>42667</v>
      </c>
      <c r="D909" t="s">
        <v>1024</v>
      </c>
      <c r="E909">
        <v>14.99</v>
      </c>
      <c r="F909" t="s">
        <v>1110</v>
      </c>
      <c r="G909">
        <v>17</v>
      </c>
      <c r="H909" t="s">
        <v>1214</v>
      </c>
      <c r="I909" t="s">
        <v>1214</v>
      </c>
      <c r="J909">
        <v>508</v>
      </c>
      <c r="K909">
        <v>8</v>
      </c>
      <c r="L909" t="s">
        <v>1022</v>
      </c>
      <c r="M909">
        <v>7236</v>
      </c>
      <c r="N909">
        <v>569</v>
      </c>
      <c r="O909">
        <v>7805</v>
      </c>
      <c r="P909" t="s">
        <v>2883</v>
      </c>
    </row>
    <row r="910" spans="1:16" x14ac:dyDescent="0.25">
      <c r="A910" t="s">
        <v>2870</v>
      </c>
      <c r="B910" t="s">
        <v>358</v>
      </c>
      <c r="C910" s="3">
        <v>45798</v>
      </c>
      <c r="D910" t="s">
        <v>1019</v>
      </c>
      <c r="F910" t="s">
        <v>1020</v>
      </c>
      <c r="H910" t="s">
        <v>2472</v>
      </c>
      <c r="I910" t="s">
        <v>2473</v>
      </c>
      <c r="J910">
        <v>507</v>
      </c>
      <c r="K910">
        <v>5</v>
      </c>
      <c r="L910" t="s">
        <v>2514</v>
      </c>
      <c r="M910">
        <v>2076</v>
      </c>
      <c r="N910">
        <v>1284</v>
      </c>
      <c r="O910">
        <v>3360</v>
      </c>
      <c r="P910" t="s">
        <v>2882</v>
      </c>
    </row>
    <row r="911" spans="1:16" x14ac:dyDescent="0.25">
      <c r="A911" t="s">
        <v>1613</v>
      </c>
      <c r="B911" t="s">
        <v>421</v>
      </c>
      <c r="C911" s="3">
        <v>41232</v>
      </c>
      <c r="D911" t="s">
        <v>1024</v>
      </c>
      <c r="E911">
        <v>19.989999999999998</v>
      </c>
      <c r="F911" t="s">
        <v>1189</v>
      </c>
      <c r="G911">
        <v>47</v>
      </c>
      <c r="H911" t="s">
        <v>1614</v>
      </c>
      <c r="I911" t="s">
        <v>1614</v>
      </c>
      <c r="J911">
        <v>504</v>
      </c>
      <c r="K911">
        <v>8</v>
      </c>
      <c r="L911" t="s">
        <v>1022</v>
      </c>
      <c r="M911">
        <v>16845</v>
      </c>
      <c r="N911">
        <v>2297</v>
      </c>
      <c r="O911">
        <v>19142</v>
      </c>
      <c r="P911" t="s">
        <v>2883</v>
      </c>
    </row>
    <row r="912" spans="1:16" x14ac:dyDescent="0.25">
      <c r="A912" t="s">
        <v>2871</v>
      </c>
      <c r="B912" t="s">
        <v>645</v>
      </c>
      <c r="C912" s="3">
        <v>42894</v>
      </c>
      <c r="D912" t="s">
        <v>1019</v>
      </c>
      <c r="F912" t="s">
        <v>1020</v>
      </c>
      <c r="H912" t="s">
        <v>2872</v>
      </c>
      <c r="I912" t="s">
        <v>2872</v>
      </c>
      <c r="J912">
        <v>502</v>
      </c>
      <c r="K912">
        <v>6</v>
      </c>
      <c r="L912" t="s">
        <v>2338</v>
      </c>
      <c r="M912">
        <v>2639</v>
      </c>
      <c r="N912">
        <v>1124</v>
      </c>
      <c r="O912">
        <v>3763</v>
      </c>
      <c r="P912" t="s">
        <v>2882</v>
      </c>
    </row>
    <row r="913" spans="1:16" x14ac:dyDescent="0.25">
      <c r="A913" t="s">
        <v>2057</v>
      </c>
      <c r="B913" t="s">
        <v>275</v>
      </c>
      <c r="C913" s="3">
        <v>42873</v>
      </c>
      <c r="D913" t="s">
        <v>1024</v>
      </c>
      <c r="E913">
        <v>39.99</v>
      </c>
      <c r="F913" t="s">
        <v>1047</v>
      </c>
      <c r="G913">
        <v>115</v>
      </c>
      <c r="H913" t="s">
        <v>2058</v>
      </c>
      <c r="I913" t="s">
        <v>2058</v>
      </c>
      <c r="J913">
        <v>501</v>
      </c>
      <c r="K913">
        <v>8</v>
      </c>
      <c r="L913" t="s">
        <v>1022</v>
      </c>
      <c r="M913">
        <v>10276</v>
      </c>
      <c r="N913">
        <v>2277</v>
      </c>
      <c r="O913">
        <v>12553</v>
      </c>
      <c r="P913" t="s">
        <v>2883</v>
      </c>
    </row>
    <row r="914" spans="1:16" x14ac:dyDescent="0.25">
      <c r="A914" t="s">
        <v>1195</v>
      </c>
      <c r="B914" t="s">
        <v>93</v>
      </c>
      <c r="C914" s="3">
        <v>44530</v>
      </c>
      <c r="D914" t="s">
        <v>1019</v>
      </c>
      <c r="F914" t="s">
        <v>1020</v>
      </c>
      <c r="H914" t="s">
        <v>1196</v>
      </c>
      <c r="I914" t="s">
        <v>1196</v>
      </c>
      <c r="J914">
        <v>496</v>
      </c>
      <c r="K914">
        <v>8</v>
      </c>
      <c r="L914" t="s">
        <v>1022</v>
      </c>
      <c r="M914">
        <v>20543</v>
      </c>
      <c r="N914">
        <v>4041</v>
      </c>
      <c r="O914">
        <v>24584</v>
      </c>
      <c r="P914" t="s">
        <v>2882</v>
      </c>
    </row>
    <row r="915" spans="1:16" x14ac:dyDescent="0.25">
      <c r="A915" t="s">
        <v>1611</v>
      </c>
      <c r="B915" t="s">
        <v>782</v>
      </c>
      <c r="C915" s="3">
        <v>44061</v>
      </c>
      <c r="D915" t="s">
        <v>1024</v>
      </c>
      <c r="E915">
        <v>29.99</v>
      </c>
      <c r="F915" t="s">
        <v>1110</v>
      </c>
      <c r="G915">
        <v>39</v>
      </c>
      <c r="H915" t="s">
        <v>1612</v>
      </c>
      <c r="I915" t="s">
        <v>1612</v>
      </c>
      <c r="J915">
        <v>496</v>
      </c>
      <c r="K915">
        <v>8</v>
      </c>
      <c r="L915" t="s">
        <v>1022</v>
      </c>
      <c r="M915">
        <v>20566</v>
      </c>
      <c r="N915">
        <v>1088</v>
      </c>
      <c r="O915">
        <v>21654</v>
      </c>
      <c r="P915" t="s">
        <v>2883</v>
      </c>
    </row>
    <row r="916" spans="1:16" x14ac:dyDescent="0.25">
      <c r="A916" t="s">
        <v>1619</v>
      </c>
      <c r="B916" t="s">
        <v>99</v>
      </c>
      <c r="C916" s="3">
        <v>44833</v>
      </c>
      <c r="D916" t="s">
        <v>1024</v>
      </c>
      <c r="E916">
        <v>39.99</v>
      </c>
      <c r="F916" t="s">
        <v>1110</v>
      </c>
      <c r="G916">
        <v>55</v>
      </c>
      <c r="H916" t="s">
        <v>1620</v>
      </c>
      <c r="I916" t="s">
        <v>1620</v>
      </c>
      <c r="J916">
        <v>490</v>
      </c>
      <c r="K916">
        <v>8</v>
      </c>
      <c r="L916" t="s">
        <v>1022</v>
      </c>
      <c r="M916">
        <v>12848</v>
      </c>
      <c r="N916">
        <v>3174</v>
      </c>
      <c r="O916">
        <v>16022</v>
      </c>
      <c r="P916" t="s">
        <v>2883</v>
      </c>
    </row>
    <row r="917" spans="1:16" x14ac:dyDescent="0.25">
      <c r="A917" t="s">
        <v>2604</v>
      </c>
      <c r="B917" t="s">
        <v>877</v>
      </c>
      <c r="C917" s="3">
        <v>45156</v>
      </c>
      <c r="D917" t="s">
        <v>1024</v>
      </c>
      <c r="E917">
        <v>14.99</v>
      </c>
      <c r="F917" t="s">
        <v>1208</v>
      </c>
      <c r="G917">
        <v>51</v>
      </c>
      <c r="H917" t="s">
        <v>2605</v>
      </c>
      <c r="I917" t="s">
        <v>2606</v>
      </c>
      <c r="J917">
        <v>489</v>
      </c>
      <c r="K917">
        <v>5</v>
      </c>
      <c r="L917" t="s">
        <v>2514</v>
      </c>
      <c r="M917">
        <v>8316</v>
      </c>
      <c r="N917">
        <v>4507</v>
      </c>
      <c r="O917">
        <v>12823</v>
      </c>
      <c r="P917" t="s">
        <v>2883</v>
      </c>
    </row>
    <row r="918" spans="1:16" x14ac:dyDescent="0.25">
      <c r="A918" t="s">
        <v>2488</v>
      </c>
      <c r="B918" t="s">
        <v>969</v>
      </c>
      <c r="C918" s="3">
        <v>43034</v>
      </c>
      <c r="D918" t="s">
        <v>1024</v>
      </c>
      <c r="E918">
        <v>39.99</v>
      </c>
      <c r="F918" t="s">
        <v>1189</v>
      </c>
      <c r="G918">
        <v>80</v>
      </c>
      <c r="H918" t="s">
        <v>1581</v>
      </c>
      <c r="I918" t="s">
        <v>1051</v>
      </c>
      <c r="J918">
        <v>486</v>
      </c>
      <c r="K918">
        <v>6</v>
      </c>
      <c r="L918" t="s">
        <v>2338</v>
      </c>
      <c r="M918">
        <v>19148</v>
      </c>
      <c r="N918">
        <v>5342</v>
      </c>
      <c r="O918">
        <v>24490</v>
      </c>
      <c r="P918" t="s">
        <v>2883</v>
      </c>
    </row>
    <row r="919" spans="1:16" x14ac:dyDescent="0.25">
      <c r="A919" t="s">
        <v>2691</v>
      </c>
      <c r="B919" t="s">
        <v>335</v>
      </c>
      <c r="C919" s="3">
        <v>42677</v>
      </c>
      <c r="D919" t="s">
        <v>1024</v>
      </c>
      <c r="F919" t="s">
        <v>1086</v>
      </c>
      <c r="G919">
        <v>86</v>
      </c>
      <c r="H919" t="s">
        <v>1835</v>
      </c>
      <c r="I919" t="s">
        <v>1555</v>
      </c>
      <c r="J919">
        <v>485</v>
      </c>
      <c r="K919">
        <v>5</v>
      </c>
      <c r="L919" t="s">
        <v>2514</v>
      </c>
      <c r="M919">
        <v>2193</v>
      </c>
      <c r="N919">
        <v>1160</v>
      </c>
      <c r="O919">
        <v>3353</v>
      </c>
      <c r="P919" t="s">
        <v>2883</v>
      </c>
    </row>
    <row r="920" spans="1:16" x14ac:dyDescent="0.25">
      <c r="A920" t="s">
        <v>1889</v>
      </c>
      <c r="B920" t="s">
        <v>21</v>
      </c>
      <c r="C920" s="3">
        <v>45569</v>
      </c>
      <c r="D920" t="s">
        <v>1019</v>
      </c>
      <c r="F920" t="s">
        <v>1020</v>
      </c>
      <c r="G920">
        <v>7</v>
      </c>
      <c r="H920" t="s">
        <v>1890</v>
      </c>
      <c r="I920" t="s">
        <v>1890</v>
      </c>
      <c r="J920">
        <v>482</v>
      </c>
      <c r="K920">
        <v>8</v>
      </c>
      <c r="L920" t="s">
        <v>1022</v>
      </c>
      <c r="M920">
        <v>2318</v>
      </c>
      <c r="N920">
        <v>329</v>
      </c>
      <c r="O920">
        <v>2647</v>
      </c>
      <c r="P920" t="s">
        <v>2882</v>
      </c>
    </row>
    <row r="921" spans="1:16" x14ac:dyDescent="0.25">
      <c r="A921" t="s">
        <v>1197</v>
      </c>
      <c r="B921" t="s">
        <v>650</v>
      </c>
      <c r="C921" s="3">
        <v>41233</v>
      </c>
      <c r="D921" t="s">
        <v>1019</v>
      </c>
      <c r="F921" t="s">
        <v>1020</v>
      </c>
      <c r="H921" t="s">
        <v>1198</v>
      </c>
      <c r="I921" t="s">
        <v>1199</v>
      </c>
      <c r="J921">
        <v>480</v>
      </c>
      <c r="K921">
        <v>8</v>
      </c>
      <c r="L921" t="s">
        <v>1022</v>
      </c>
      <c r="M921">
        <v>38629</v>
      </c>
      <c r="N921">
        <v>8811</v>
      </c>
      <c r="O921">
        <v>47440</v>
      </c>
      <c r="P921" t="s">
        <v>2882</v>
      </c>
    </row>
    <row r="922" spans="1:16" x14ac:dyDescent="0.25">
      <c r="A922" t="s">
        <v>2490</v>
      </c>
      <c r="B922" t="s">
        <v>97</v>
      </c>
      <c r="C922" s="3">
        <v>45450</v>
      </c>
      <c r="D922" t="s">
        <v>1024</v>
      </c>
      <c r="E922">
        <v>33.32</v>
      </c>
      <c r="F922" t="s">
        <v>1026</v>
      </c>
      <c r="G922">
        <v>1</v>
      </c>
      <c r="H922" t="s">
        <v>2491</v>
      </c>
      <c r="I922" t="s">
        <v>2491</v>
      </c>
      <c r="J922">
        <v>480</v>
      </c>
      <c r="K922">
        <v>6</v>
      </c>
      <c r="L922" t="s">
        <v>2338</v>
      </c>
      <c r="M922">
        <v>18636</v>
      </c>
      <c r="N922">
        <v>6441</v>
      </c>
      <c r="O922">
        <v>25077</v>
      </c>
      <c r="P922" t="s">
        <v>2883</v>
      </c>
    </row>
    <row r="923" spans="1:16" x14ac:dyDescent="0.25">
      <c r="A923" t="s">
        <v>1769</v>
      </c>
      <c r="B923" t="s">
        <v>689</v>
      </c>
      <c r="C923" s="3">
        <v>43696</v>
      </c>
      <c r="D923" t="s">
        <v>1024</v>
      </c>
      <c r="E923">
        <v>39.99</v>
      </c>
      <c r="F923" t="s">
        <v>1042</v>
      </c>
      <c r="G923">
        <v>50</v>
      </c>
      <c r="H923" t="s">
        <v>1723</v>
      </c>
      <c r="I923" t="s">
        <v>1724</v>
      </c>
      <c r="J923">
        <v>474</v>
      </c>
      <c r="K923">
        <v>8</v>
      </c>
      <c r="L923" t="s">
        <v>1022</v>
      </c>
      <c r="M923">
        <v>24920</v>
      </c>
      <c r="N923">
        <v>4024</v>
      </c>
      <c r="O923">
        <v>28944</v>
      </c>
      <c r="P923" t="s">
        <v>2883</v>
      </c>
    </row>
    <row r="924" spans="1:16" x14ac:dyDescent="0.25">
      <c r="A924" t="s">
        <v>2489</v>
      </c>
      <c r="B924" t="s">
        <v>105</v>
      </c>
      <c r="C924" s="3">
        <v>45169</v>
      </c>
      <c r="D924" t="s">
        <v>1024</v>
      </c>
      <c r="E924">
        <v>29.99</v>
      </c>
      <c r="F924" t="s">
        <v>1042</v>
      </c>
      <c r="G924">
        <v>80</v>
      </c>
      <c r="H924" t="s">
        <v>1708</v>
      </c>
      <c r="I924" t="s">
        <v>1123</v>
      </c>
      <c r="J924">
        <v>472</v>
      </c>
      <c r="K924">
        <v>6</v>
      </c>
      <c r="L924" t="s">
        <v>2338</v>
      </c>
      <c r="M924">
        <v>14580</v>
      </c>
      <c r="N924">
        <v>3852</v>
      </c>
      <c r="O924">
        <v>18432</v>
      </c>
      <c r="P924" t="s">
        <v>2883</v>
      </c>
    </row>
    <row r="925" spans="1:16" x14ac:dyDescent="0.25">
      <c r="A925" t="s">
        <v>1616</v>
      </c>
      <c r="B925" t="s">
        <v>618</v>
      </c>
      <c r="C925" s="3">
        <v>45343</v>
      </c>
      <c r="D925" t="s">
        <v>1024</v>
      </c>
      <c r="E925">
        <v>29.99</v>
      </c>
      <c r="F925" t="s">
        <v>1110</v>
      </c>
      <c r="G925">
        <v>49</v>
      </c>
      <c r="H925" t="s">
        <v>1617</v>
      </c>
      <c r="I925" t="s">
        <v>1618</v>
      </c>
      <c r="J925">
        <v>465</v>
      </c>
      <c r="K925">
        <v>8</v>
      </c>
      <c r="L925" t="s">
        <v>1022</v>
      </c>
      <c r="M925">
        <v>14097</v>
      </c>
      <c r="N925">
        <v>2897</v>
      </c>
      <c r="O925">
        <v>16994</v>
      </c>
      <c r="P925" t="s">
        <v>2883</v>
      </c>
    </row>
    <row r="926" spans="1:16" x14ac:dyDescent="0.25">
      <c r="A926" t="s">
        <v>2060</v>
      </c>
      <c r="B926" t="s">
        <v>703</v>
      </c>
      <c r="C926" s="3">
        <v>42885</v>
      </c>
      <c r="D926" t="s">
        <v>1024</v>
      </c>
      <c r="E926">
        <v>24.99</v>
      </c>
      <c r="F926" t="s">
        <v>1047</v>
      </c>
      <c r="G926">
        <v>132</v>
      </c>
      <c r="H926" t="s">
        <v>2061</v>
      </c>
      <c r="I926" t="s">
        <v>1311</v>
      </c>
      <c r="J926">
        <v>464</v>
      </c>
      <c r="K926">
        <v>8</v>
      </c>
      <c r="L926" t="s">
        <v>1022</v>
      </c>
      <c r="M926">
        <v>32670</v>
      </c>
      <c r="N926">
        <v>4433</v>
      </c>
      <c r="O926">
        <v>37103</v>
      </c>
      <c r="P926" t="s">
        <v>2883</v>
      </c>
    </row>
    <row r="927" spans="1:16" x14ac:dyDescent="0.25">
      <c r="A927" t="s">
        <v>1200</v>
      </c>
      <c r="B927" t="s">
        <v>71</v>
      </c>
      <c r="C927" s="3">
        <v>45092</v>
      </c>
      <c r="D927" t="s">
        <v>1024</v>
      </c>
      <c r="E927">
        <v>14.99</v>
      </c>
      <c r="F927" t="s">
        <v>1026</v>
      </c>
      <c r="H927" t="s">
        <v>1201</v>
      </c>
      <c r="I927" t="s">
        <v>1201</v>
      </c>
      <c r="J927">
        <v>462</v>
      </c>
      <c r="K927">
        <v>8</v>
      </c>
      <c r="L927" t="s">
        <v>1022</v>
      </c>
      <c r="M927">
        <v>72161</v>
      </c>
      <c r="N927">
        <v>16433</v>
      </c>
      <c r="O927">
        <v>88594</v>
      </c>
      <c r="P927" t="s">
        <v>2883</v>
      </c>
    </row>
    <row r="928" spans="1:16" x14ac:dyDescent="0.25">
      <c r="A928" t="s">
        <v>2059</v>
      </c>
      <c r="B928" t="s">
        <v>323</v>
      </c>
      <c r="C928" s="3">
        <v>45930</v>
      </c>
      <c r="D928" t="s">
        <v>1024</v>
      </c>
      <c r="E928">
        <v>49.99</v>
      </c>
      <c r="F928" t="s">
        <v>1047</v>
      </c>
      <c r="G928">
        <v>50</v>
      </c>
      <c r="H928" t="s">
        <v>1043</v>
      </c>
      <c r="I928" t="s">
        <v>1043</v>
      </c>
      <c r="J928">
        <v>460</v>
      </c>
      <c r="K928">
        <v>8</v>
      </c>
      <c r="L928" t="s">
        <v>1022</v>
      </c>
      <c r="M928">
        <v>4493</v>
      </c>
      <c r="N928">
        <v>432</v>
      </c>
      <c r="O928">
        <v>4925</v>
      </c>
      <c r="P928" t="s">
        <v>2883</v>
      </c>
    </row>
    <row r="929" spans="1:16" x14ac:dyDescent="0.25">
      <c r="A929" t="s">
        <v>1626</v>
      </c>
      <c r="B929" t="s">
        <v>289</v>
      </c>
      <c r="C929" s="3">
        <v>46098</v>
      </c>
      <c r="D929" t="s">
        <v>1024</v>
      </c>
      <c r="E929">
        <v>24.99</v>
      </c>
      <c r="F929" t="s">
        <v>1026</v>
      </c>
      <c r="G929">
        <v>10</v>
      </c>
      <c r="H929" t="s">
        <v>1628</v>
      </c>
      <c r="I929" t="s">
        <v>1629</v>
      </c>
      <c r="J929">
        <v>458</v>
      </c>
      <c r="K929">
        <v>8</v>
      </c>
      <c r="L929" t="s">
        <v>1022</v>
      </c>
      <c r="M929">
        <v>1465</v>
      </c>
      <c r="N929">
        <v>300</v>
      </c>
      <c r="O929">
        <v>1765</v>
      </c>
      <c r="P929" t="s">
        <v>2883</v>
      </c>
    </row>
    <row r="930" spans="1:16" x14ac:dyDescent="0.25">
      <c r="A930" t="s">
        <v>2322</v>
      </c>
      <c r="B930" t="s">
        <v>708</v>
      </c>
      <c r="C930" s="3">
        <v>45908</v>
      </c>
      <c r="D930" t="s">
        <v>1024</v>
      </c>
      <c r="E930">
        <v>8.49</v>
      </c>
      <c r="F930" t="s">
        <v>1110</v>
      </c>
      <c r="G930">
        <v>40</v>
      </c>
      <c r="H930" t="s">
        <v>2323</v>
      </c>
      <c r="I930" t="s">
        <v>2323</v>
      </c>
      <c r="J930">
        <v>455</v>
      </c>
      <c r="K930">
        <v>9</v>
      </c>
      <c r="L930" t="s">
        <v>2077</v>
      </c>
      <c r="M930">
        <v>1641</v>
      </c>
      <c r="N930">
        <v>71</v>
      </c>
      <c r="O930">
        <v>1712</v>
      </c>
      <c r="P930" t="s">
        <v>2883</v>
      </c>
    </row>
    <row r="931" spans="1:16" x14ac:dyDescent="0.25">
      <c r="A931" t="s">
        <v>1772</v>
      </c>
      <c r="B931" t="s">
        <v>414</v>
      </c>
      <c r="C931" s="3">
        <v>45671</v>
      </c>
      <c r="D931" t="s">
        <v>1024</v>
      </c>
      <c r="E931">
        <v>19.989999999999998</v>
      </c>
      <c r="F931" t="s">
        <v>1042</v>
      </c>
      <c r="G931">
        <v>37</v>
      </c>
      <c r="H931" t="s">
        <v>1773</v>
      </c>
      <c r="I931" t="s">
        <v>1379</v>
      </c>
      <c r="J931">
        <v>452</v>
      </c>
      <c r="K931">
        <v>8</v>
      </c>
      <c r="L931" t="s">
        <v>1022</v>
      </c>
      <c r="M931">
        <v>3859</v>
      </c>
      <c r="N931">
        <v>719</v>
      </c>
      <c r="O931">
        <v>4578</v>
      </c>
      <c r="P931" t="s">
        <v>2883</v>
      </c>
    </row>
    <row r="932" spans="1:16" x14ac:dyDescent="0.25">
      <c r="A932" t="s">
        <v>2498</v>
      </c>
      <c r="B932" t="s">
        <v>611</v>
      </c>
      <c r="C932" s="3">
        <v>44698</v>
      </c>
      <c r="D932" t="s">
        <v>1024</v>
      </c>
      <c r="E932">
        <v>39.99</v>
      </c>
      <c r="F932" t="s">
        <v>1042</v>
      </c>
      <c r="G932">
        <v>72</v>
      </c>
      <c r="H932" t="s">
        <v>2499</v>
      </c>
      <c r="I932" t="s">
        <v>2500</v>
      </c>
      <c r="J932">
        <v>451</v>
      </c>
      <c r="K932">
        <v>6</v>
      </c>
      <c r="L932" t="s">
        <v>2338</v>
      </c>
      <c r="M932">
        <v>14395</v>
      </c>
      <c r="N932">
        <v>5426</v>
      </c>
      <c r="O932">
        <v>19821</v>
      </c>
      <c r="P932" t="s">
        <v>2883</v>
      </c>
    </row>
    <row r="933" spans="1:16" x14ac:dyDescent="0.25">
      <c r="A933" t="s">
        <v>1635</v>
      </c>
      <c r="B933" t="s">
        <v>83</v>
      </c>
      <c r="C933" s="3">
        <v>41358</v>
      </c>
      <c r="D933" t="s">
        <v>1024</v>
      </c>
      <c r="E933">
        <v>29.99</v>
      </c>
      <c r="F933" t="s">
        <v>1189</v>
      </c>
      <c r="G933">
        <v>80</v>
      </c>
      <c r="H933" t="s">
        <v>1636</v>
      </c>
      <c r="I933" t="s">
        <v>1123</v>
      </c>
      <c r="J933">
        <v>449</v>
      </c>
      <c r="K933">
        <v>8</v>
      </c>
      <c r="L933" t="s">
        <v>1022</v>
      </c>
      <c r="M933">
        <v>59034</v>
      </c>
      <c r="N933">
        <v>5743</v>
      </c>
      <c r="O933">
        <v>64777</v>
      </c>
      <c r="P933" t="s">
        <v>2883</v>
      </c>
    </row>
    <row r="934" spans="1:16" x14ac:dyDescent="0.25">
      <c r="A934" t="s">
        <v>2479</v>
      </c>
      <c r="B934" t="s">
        <v>979</v>
      </c>
      <c r="C934" s="3">
        <v>45861</v>
      </c>
      <c r="D934" t="s">
        <v>1024</v>
      </c>
      <c r="E934">
        <v>49.99</v>
      </c>
      <c r="F934" t="s">
        <v>1042</v>
      </c>
      <c r="G934">
        <v>40</v>
      </c>
      <c r="H934" t="s">
        <v>2480</v>
      </c>
      <c r="I934" t="s">
        <v>1088</v>
      </c>
      <c r="J934">
        <v>447</v>
      </c>
      <c r="K934">
        <v>6</v>
      </c>
      <c r="L934" t="s">
        <v>2338</v>
      </c>
      <c r="M934">
        <v>5673</v>
      </c>
      <c r="N934">
        <v>2051</v>
      </c>
      <c r="O934">
        <v>7724</v>
      </c>
      <c r="P934" t="s">
        <v>2883</v>
      </c>
    </row>
    <row r="935" spans="1:16" x14ac:dyDescent="0.25">
      <c r="A935" t="s">
        <v>1621</v>
      </c>
      <c r="B935" t="s">
        <v>560</v>
      </c>
      <c r="C935" s="3">
        <v>43635</v>
      </c>
      <c r="D935" t="s">
        <v>1024</v>
      </c>
      <c r="E935">
        <v>2.99</v>
      </c>
      <c r="F935" t="s">
        <v>1208</v>
      </c>
      <c r="G935">
        <v>39</v>
      </c>
      <c r="H935" t="s">
        <v>1622</v>
      </c>
      <c r="I935" t="s">
        <v>1623</v>
      </c>
      <c r="J935">
        <v>446</v>
      </c>
      <c r="K935">
        <v>8</v>
      </c>
      <c r="L935" t="s">
        <v>1022</v>
      </c>
      <c r="M935">
        <v>30698</v>
      </c>
      <c r="N935">
        <v>1779</v>
      </c>
      <c r="O935">
        <v>32477</v>
      </c>
      <c r="P935" t="s">
        <v>2883</v>
      </c>
    </row>
    <row r="936" spans="1:16" x14ac:dyDescent="0.25">
      <c r="A936" t="s">
        <v>1202</v>
      </c>
      <c r="B936" t="s">
        <v>167</v>
      </c>
      <c r="C936" s="3">
        <v>38047</v>
      </c>
      <c r="D936" t="s">
        <v>1024</v>
      </c>
      <c r="E936">
        <v>9.99</v>
      </c>
      <c r="F936" t="s">
        <v>1189</v>
      </c>
      <c r="H936" t="s">
        <v>1021</v>
      </c>
      <c r="I936" t="s">
        <v>1021</v>
      </c>
      <c r="J936">
        <v>439</v>
      </c>
      <c r="K936">
        <v>8</v>
      </c>
      <c r="L936" t="s">
        <v>1022</v>
      </c>
      <c r="M936">
        <v>9185</v>
      </c>
      <c r="N936">
        <v>786</v>
      </c>
      <c r="O936">
        <v>9971</v>
      </c>
      <c r="P936" t="s">
        <v>2883</v>
      </c>
    </row>
    <row r="937" spans="1:16" x14ac:dyDescent="0.25">
      <c r="A937" t="s">
        <v>1203</v>
      </c>
      <c r="B937" t="s">
        <v>819</v>
      </c>
      <c r="C937" s="3">
        <v>44463</v>
      </c>
      <c r="D937" t="s">
        <v>1019</v>
      </c>
      <c r="F937" t="s">
        <v>1047</v>
      </c>
      <c r="H937" t="s">
        <v>1204</v>
      </c>
      <c r="I937" t="s">
        <v>1204</v>
      </c>
      <c r="J937">
        <v>439</v>
      </c>
      <c r="K937">
        <v>8</v>
      </c>
      <c r="L937" t="s">
        <v>1022</v>
      </c>
      <c r="M937">
        <v>22760</v>
      </c>
      <c r="N937">
        <v>2220</v>
      </c>
      <c r="O937">
        <v>24980</v>
      </c>
      <c r="P937" t="s">
        <v>2882</v>
      </c>
    </row>
    <row r="938" spans="1:16" x14ac:dyDescent="0.25">
      <c r="A938" t="s">
        <v>1624</v>
      </c>
      <c r="B938" t="s">
        <v>366</v>
      </c>
      <c r="C938" s="3">
        <v>44644</v>
      </c>
      <c r="D938" t="s">
        <v>1024</v>
      </c>
      <c r="E938">
        <v>59.99</v>
      </c>
      <c r="F938" t="s">
        <v>1189</v>
      </c>
      <c r="G938">
        <v>66</v>
      </c>
      <c r="H938" t="s">
        <v>1625</v>
      </c>
      <c r="I938" t="s">
        <v>1051</v>
      </c>
      <c r="J938">
        <v>438</v>
      </c>
      <c r="K938">
        <v>8</v>
      </c>
      <c r="L938" t="s">
        <v>1022</v>
      </c>
      <c r="M938">
        <v>6746</v>
      </c>
      <c r="N938">
        <v>1378</v>
      </c>
      <c r="O938">
        <v>8124</v>
      </c>
      <c r="P938" t="s">
        <v>2883</v>
      </c>
    </row>
    <row r="939" spans="1:16" x14ac:dyDescent="0.25">
      <c r="A939" t="s">
        <v>1630</v>
      </c>
      <c r="B939" t="s">
        <v>768</v>
      </c>
      <c r="C939" s="3">
        <v>45925</v>
      </c>
      <c r="D939" t="s">
        <v>1024</v>
      </c>
      <c r="E939">
        <v>69.989999999999995</v>
      </c>
      <c r="F939" t="s">
        <v>1178</v>
      </c>
      <c r="G939">
        <v>44</v>
      </c>
      <c r="H939" t="s">
        <v>1631</v>
      </c>
      <c r="I939" t="s">
        <v>1555</v>
      </c>
      <c r="J939">
        <v>435</v>
      </c>
      <c r="K939">
        <v>8</v>
      </c>
      <c r="L939" t="s">
        <v>1022</v>
      </c>
      <c r="M939">
        <v>11004</v>
      </c>
      <c r="N939">
        <v>809</v>
      </c>
      <c r="O939">
        <v>11813</v>
      </c>
      <c r="P939" t="s">
        <v>2883</v>
      </c>
    </row>
    <row r="940" spans="1:16" x14ac:dyDescent="0.25">
      <c r="A940" t="s">
        <v>2496</v>
      </c>
      <c r="B940" t="s">
        <v>503</v>
      </c>
      <c r="C940" s="3">
        <v>45876</v>
      </c>
      <c r="D940" t="s">
        <v>1024</v>
      </c>
      <c r="E940">
        <v>49.99</v>
      </c>
      <c r="F940" t="s">
        <v>1113</v>
      </c>
      <c r="G940">
        <v>55</v>
      </c>
      <c r="H940" t="s">
        <v>1539</v>
      </c>
      <c r="I940" t="s">
        <v>1123</v>
      </c>
      <c r="J940">
        <v>434</v>
      </c>
      <c r="K940">
        <v>6</v>
      </c>
      <c r="L940" t="s">
        <v>2338</v>
      </c>
      <c r="M940">
        <v>8956</v>
      </c>
      <c r="N940">
        <v>3418</v>
      </c>
      <c r="O940">
        <v>12374</v>
      </c>
      <c r="P940" t="s">
        <v>2883</v>
      </c>
    </row>
    <row r="941" spans="1:16" x14ac:dyDescent="0.25">
      <c r="A941" t="s">
        <v>1767</v>
      </c>
      <c r="B941" t="s">
        <v>148</v>
      </c>
      <c r="C941" s="3">
        <v>43734</v>
      </c>
      <c r="D941" t="s">
        <v>1024</v>
      </c>
      <c r="E941">
        <v>79.989999999999995</v>
      </c>
      <c r="F941" t="s">
        <v>1042</v>
      </c>
      <c r="G941">
        <v>43</v>
      </c>
      <c r="H941" t="s">
        <v>1768</v>
      </c>
      <c r="I941" t="s">
        <v>1324</v>
      </c>
      <c r="J941">
        <v>432</v>
      </c>
      <c r="K941">
        <v>8</v>
      </c>
      <c r="L941" t="s">
        <v>1022</v>
      </c>
      <c r="M941">
        <v>21735</v>
      </c>
      <c r="N941">
        <v>3486</v>
      </c>
      <c r="O941">
        <v>25221</v>
      </c>
      <c r="P941" t="s">
        <v>2883</v>
      </c>
    </row>
    <row r="942" spans="1:16" x14ac:dyDescent="0.25">
      <c r="A942" t="s">
        <v>2497</v>
      </c>
      <c r="B942" t="s">
        <v>888</v>
      </c>
      <c r="C942" s="3">
        <v>44735</v>
      </c>
      <c r="D942" t="s">
        <v>1024</v>
      </c>
      <c r="E942">
        <v>59.99</v>
      </c>
      <c r="F942" t="s">
        <v>1042</v>
      </c>
      <c r="G942">
        <v>47</v>
      </c>
      <c r="H942" t="s">
        <v>1708</v>
      </c>
      <c r="I942" t="s">
        <v>1123</v>
      </c>
      <c r="J942">
        <v>432</v>
      </c>
      <c r="K942">
        <v>6</v>
      </c>
      <c r="L942" t="s">
        <v>2338</v>
      </c>
      <c r="M942">
        <v>10814</v>
      </c>
      <c r="N942">
        <v>4401</v>
      </c>
      <c r="O942">
        <v>15215</v>
      </c>
      <c r="P942" t="s">
        <v>2883</v>
      </c>
    </row>
    <row r="943" spans="1:16" x14ac:dyDescent="0.25">
      <c r="A943" t="s">
        <v>2066</v>
      </c>
      <c r="B943" t="s">
        <v>958</v>
      </c>
      <c r="C943" s="3">
        <v>44070</v>
      </c>
      <c r="D943" t="s">
        <v>1024</v>
      </c>
      <c r="E943">
        <v>39.99</v>
      </c>
      <c r="F943" t="s">
        <v>1047</v>
      </c>
      <c r="G943">
        <v>86</v>
      </c>
      <c r="H943" t="s">
        <v>2067</v>
      </c>
      <c r="I943" t="s">
        <v>2067</v>
      </c>
      <c r="J943">
        <v>429</v>
      </c>
      <c r="K943">
        <v>8</v>
      </c>
      <c r="L943" t="s">
        <v>1022</v>
      </c>
      <c r="M943">
        <v>12079</v>
      </c>
      <c r="N943">
        <v>2174</v>
      </c>
      <c r="O943">
        <v>14253</v>
      </c>
      <c r="P943" t="s">
        <v>2883</v>
      </c>
    </row>
    <row r="944" spans="1:16" x14ac:dyDescent="0.25">
      <c r="A944" t="s">
        <v>1639</v>
      </c>
      <c r="B944" t="s">
        <v>664</v>
      </c>
      <c r="C944" s="3">
        <v>42859</v>
      </c>
      <c r="D944" t="s">
        <v>1024</v>
      </c>
      <c r="E944">
        <v>29.99</v>
      </c>
      <c r="F944" t="s">
        <v>1113</v>
      </c>
      <c r="G944">
        <v>58</v>
      </c>
      <c r="H944" t="s">
        <v>1557</v>
      </c>
      <c r="I944" t="s">
        <v>1051</v>
      </c>
      <c r="J944">
        <v>427</v>
      </c>
      <c r="K944">
        <v>8</v>
      </c>
      <c r="L944" t="s">
        <v>1022</v>
      </c>
      <c r="M944">
        <v>28102</v>
      </c>
      <c r="N944">
        <v>2544</v>
      </c>
      <c r="O944">
        <v>30646</v>
      </c>
      <c r="P944" t="s">
        <v>2883</v>
      </c>
    </row>
    <row r="945" spans="1:16" x14ac:dyDescent="0.25">
      <c r="A945" t="s">
        <v>1642</v>
      </c>
      <c r="B945" t="s">
        <v>122</v>
      </c>
      <c r="C945" s="3">
        <v>40128</v>
      </c>
      <c r="D945" t="s">
        <v>1024</v>
      </c>
      <c r="E945">
        <v>19.989999999999998</v>
      </c>
      <c r="F945" t="s">
        <v>1189</v>
      </c>
      <c r="G945">
        <v>50</v>
      </c>
      <c r="H945" t="s">
        <v>1456</v>
      </c>
      <c r="I945" t="s">
        <v>1272</v>
      </c>
      <c r="J945">
        <v>425</v>
      </c>
      <c r="K945">
        <v>8</v>
      </c>
      <c r="L945" t="s">
        <v>1022</v>
      </c>
      <c r="M945">
        <v>25315</v>
      </c>
      <c r="N945">
        <v>2399</v>
      </c>
      <c r="O945">
        <v>27714</v>
      </c>
      <c r="P945" t="s">
        <v>2883</v>
      </c>
    </row>
    <row r="946" spans="1:16" x14ac:dyDescent="0.25">
      <c r="A946" t="s">
        <v>1637</v>
      </c>
      <c r="B946" t="s">
        <v>189</v>
      </c>
      <c r="C946" s="3">
        <v>45825</v>
      </c>
      <c r="D946" t="s">
        <v>1024</v>
      </c>
      <c r="E946">
        <v>29.99</v>
      </c>
      <c r="F946" t="s">
        <v>1110</v>
      </c>
      <c r="G946">
        <v>42</v>
      </c>
      <c r="H946" t="s">
        <v>1638</v>
      </c>
      <c r="I946" t="s">
        <v>1379</v>
      </c>
      <c r="J946">
        <v>424</v>
      </c>
      <c r="K946">
        <v>8</v>
      </c>
      <c r="L946" t="s">
        <v>1022</v>
      </c>
      <c r="M946">
        <v>6376</v>
      </c>
      <c r="N946">
        <v>431</v>
      </c>
      <c r="O946">
        <v>6807</v>
      </c>
      <c r="P946" t="s">
        <v>2883</v>
      </c>
    </row>
    <row r="947" spans="1:16" x14ac:dyDescent="0.25">
      <c r="A947" t="s">
        <v>2494</v>
      </c>
      <c r="B947" t="s">
        <v>362</v>
      </c>
      <c r="C947" s="3">
        <v>43550</v>
      </c>
      <c r="D947" t="s">
        <v>1024</v>
      </c>
      <c r="E947">
        <v>24.99</v>
      </c>
      <c r="F947" t="s">
        <v>1113</v>
      </c>
      <c r="G947">
        <v>72</v>
      </c>
      <c r="H947" t="s">
        <v>2495</v>
      </c>
      <c r="I947" t="s">
        <v>1300</v>
      </c>
      <c r="J947">
        <v>423</v>
      </c>
      <c r="K947">
        <v>6</v>
      </c>
      <c r="L947" t="s">
        <v>2338</v>
      </c>
      <c r="M947">
        <v>19058</v>
      </c>
      <c r="N947">
        <v>7010</v>
      </c>
      <c r="O947">
        <v>26068</v>
      </c>
      <c r="P947" t="s">
        <v>2883</v>
      </c>
    </row>
    <row r="948" spans="1:16" x14ac:dyDescent="0.25">
      <c r="A948" t="s">
        <v>1770</v>
      </c>
      <c r="B948" t="s">
        <v>643</v>
      </c>
      <c r="C948" s="3">
        <v>43228</v>
      </c>
      <c r="D948" t="s">
        <v>1024</v>
      </c>
      <c r="E948">
        <v>19.989999999999998</v>
      </c>
      <c r="F948" t="s">
        <v>1042</v>
      </c>
      <c r="G948">
        <v>55</v>
      </c>
      <c r="H948" t="s">
        <v>1105</v>
      </c>
      <c r="I948" t="s">
        <v>1771</v>
      </c>
      <c r="J948">
        <v>420</v>
      </c>
      <c r="K948">
        <v>8</v>
      </c>
      <c r="L948" t="s">
        <v>1022</v>
      </c>
      <c r="M948">
        <v>9978</v>
      </c>
      <c r="N948">
        <v>1288</v>
      </c>
      <c r="O948">
        <v>11266</v>
      </c>
      <c r="P948" t="s">
        <v>2883</v>
      </c>
    </row>
    <row r="949" spans="1:16" x14ac:dyDescent="0.25">
      <c r="A949" t="s">
        <v>2062</v>
      </c>
      <c r="B949" t="s">
        <v>7</v>
      </c>
      <c r="C949" s="3">
        <v>44789</v>
      </c>
      <c r="D949" t="s">
        <v>1024</v>
      </c>
      <c r="E949">
        <v>19.989999999999998</v>
      </c>
      <c r="F949" t="s">
        <v>1047</v>
      </c>
      <c r="G949">
        <v>148</v>
      </c>
      <c r="H949" t="s">
        <v>2063</v>
      </c>
      <c r="I949" t="s">
        <v>1846</v>
      </c>
      <c r="J949">
        <v>417</v>
      </c>
      <c r="K949">
        <v>8</v>
      </c>
      <c r="L949" t="s">
        <v>1022</v>
      </c>
      <c r="M949">
        <v>7738</v>
      </c>
      <c r="N949">
        <v>1772</v>
      </c>
      <c r="O949">
        <v>9510</v>
      </c>
      <c r="P949" t="s">
        <v>2883</v>
      </c>
    </row>
    <row r="950" spans="1:16" x14ac:dyDescent="0.25">
      <c r="A950" t="s">
        <v>2873</v>
      </c>
      <c r="B950" t="s">
        <v>671</v>
      </c>
      <c r="C950" s="3">
        <v>44791</v>
      </c>
      <c r="D950" t="s">
        <v>1019</v>
      </c>
      <c r="F950" t="s">
        <v>1020</v>
      </c>
      <c r="G950">
        <v>52</v>
      </c>
      <c r="H950" t="s">
        <v>1315</v>
      </c>
      <c r="I950" t="s">
        <v>1051</v>
      </c>
      <c r="J950">
        <v>416</v>
      </c>
      <c r="K950">
        <v>6</v>
      </c>
      <c r="L950" t="s">
        <v>2338</v>
      </c>
      <c r="M950">
        <v>14160</v>
      </c>
      <c r="N950">
        <v>5787</v>
      </c>
      <c r="O950">
        <v>19947</v>
      </c>
      <c r="P950" t="s">
        <v>2882</v>
      </c>
    </row>
    <row r="951" spans="1:16" x14ac:dyDescent="0.25">
      <c r="A951" t="s">
        <v>2324</v>
      </c>
      <c r="B951" t="s">
        <v>717</v>
      </c>
      <c r="C951" s="3">
        <v>45408</v>
      </c>
      <c r="D951" t="s">
        <v>1024</v>
      </c>
      <c r="E951">
        <v>6.99</v>
      </c>
      <c r="F951" t="s">
        <v>1047</v>
      </c>
      <c r="G951">
        <v>71</v>
      </c>
      <c r="H951" t="s">
        <v>2325</v>
      </c>
      <c r="I951" t="s">
        <v>2325</v>
      </c>
      <c r="J951">
        <v>414</v>
      </c>
      <c r="K951">
        <v>9</v>
      </c>
      <c r="L951" t="s">
        <v>2077</v>
      </c>
      <c r="M951">
        <v>6888</v>
      </c>
      <c r="N951">
        <v>214</v>
      </c>
      <c r="O951">
        <v>7102</v>
      </c>
      <c r="P951" t="s">
        <v>2883</v>
      </c>
    </row>
    <row r="952" spans="1:16" x14ac:dyDescent="0.25">
      <c r="A952" t="s">
        <v>1632</v>
      </c>
      <c r="B952" t="s">
        <v>887</v>
      </c>
      <c r="C952" s="3">
        <v>45705</v>
      </c>
      <c r="D952" t="s">
        <v>1024</v>
      </c>
      <c r="E952">
        <v>5.99</v>
      </c>
      <c r="F952" t="s">
        <v>1110</v>
      </c>
      <c r="G952">
        <v>55</v>
      </c>
      <c r="H952" t="s">
        <v>1633</v>
      </c>
      <c r="I952" t="s">
        <v>1634</v>
      </c>
      <c r="J952">
        <v>411</v>
      </c>
      <c r="K952">
        <v>8</v>
      </c>
      <c r="L952" t="s">
        <v>1022</v>
      </c>
      <c r="M952">
        <v>1217</v>
      </c>
      <c r="N952">
        <v>78</v>
      </c>
      <c r="O952">
        <v>1295</v>
      </c>
      <c r="P952" t="s">
        <v>2883</v>
      </c>
    </row>
    <row r="953" spans="1:16" x14ac:dyDescent="0.25">
      <c r="A953" t="s">
        <v>2501</v>
      </c>
      <c r="B953" t="s">
        <v>706</v>
      </c>
      <c r="C953" s="3">
        <v>45588</v>
      </c>
      <c r="D953" t="s">
        <v>1024</v>
      </c>
      <c r="E953">
        <v>29.99</v>
      </c>
      <c r="F953" t="s">
        <v>1208</v>
      </c>
      <c r="G953">
        <v>71</v>
      </c>
      <c r="H953" t="s">
        <v>2502</v>
      </c>
      <c r="I953" t="s">
        <v>2502</v>
      </c>
      <c r="J953">
        <v>411</v>
      </c>
      <c r="K953">
        <v>6</v>
      </c>
      <c r="L953" t="s">
        <v>2338</v>
      </c>
      <c r="M953">
        <v>6938</v>
      </c>
      <c r="N953">
        <v>1757</v>
      </c>
      <c r="O953">
        <v>8695</v>
      </c>
      <c r="P953" t="s">
        <v>2883</v>
      </c>
    </row>
    <row r="954" spans="1:16" x14ac:dyDescent="0.25">
      <c r="A954" t="s">
        <v>2695</v>
      </c>
      <c r="B954" t="s">
        <v>726</v>
      </c>
      <c r="C954" s="3">
        <v>45635</v>
      </c>
      <c r="D954" t="s">
        <v>1019</v>
      </c>
      <c r="F954" t="s">
        <v>1110</v>
      </c>
      <c r="H954" t="s">
        <v>2111</v>
      </c>
      <c r="I954" t="s">
        <v>2111</v>
      </c>
      <c r="J954">
        <v>410</v>
      </c>
      <c r="K954">
        <v>9</v>
      </c>
      <c r="L954" t="s">
        <v>2077</v>
      </c>
      <c r="M954">
        <v>6276</v>
      </c>
      <c r="N954">
        <v>241</v>
      </c>
      <c r="O954">
        <v>6517</v>
      </c>
      <c r="P954" t="s">
        <v>2882</v>
      </c>
    </row>
    <row r="955" spans="1:16" x14ac:dyDescent="0.25">
      <c r="A955" t="s">
        <v>2607</v>
      </c>
      <c r="B955" t="s">
        <v>443</v>
      </c>
      <c r="C955" s="3">
        <v>43580</v>
      </c>
      <c r="D955" t="s">
        <v>1024</v>
      </c>
      <c r="E955">
        <v>39.99</v>
      </c>
      <c r="F955" t="s">
        <v>1047</v>
      </c>
      <c r="G955">
        <v>72</v>
      </c>
      <c r="H955" t="s">
        <v>1845</v>
      </c>
      <c r="I955" t="s">
        <v>1846</v>
      </c>
      <c r="J955">
        <v>407</v>
      </c>
      <c r="K955">
        <v>5</v>
      </c>
      <c r="L955" t="s">
        <v>2514</v>
      </c>
      <c r="M955">
        <v>11182</v>
      </c>
      <c r="N955">
        <v>5390</v>
      </c>
      <c r="O955">
        <v>16572</v>
      </c>
      <c r="P955" t="s">
        <v>2883</v>
      </c>
    </row>
    <row r="956" spans="1:16" x14ac:dyDescent="0.25">
      <c r="A956" t="s">
        <v>2064</v>
      </c>
      <c r="B956" t="s">
        <v>191</v>
      </c>
      <c r="C956" s="3">
        <v>43525</v>
      </c>
      <c r="D956" t="s">
        <v>1024</v>
      </c>
      <c r="E956">
        <v>24.99</v>
      </c>
      <c r="F956" t="s">
        <v>1047</v>
      </c>
      <c r="G956">
        <v>24</v>
      </c>
      <c r="H956" t="s">
        <v>2065</v>
      </c>
      <c r="I956" t="s">
        <v>2065</v>
      </c>
      <c r="J956">
        <v>405</v>
      </c>
      <c r="K956">
        <v>8</v>
      </c>
      <c r="L956" t="s">
        <v>1022</v>
      </c>
      <c r="M956">
        <v>8745</v>
      </c>
      <c r="N956">
        <v>1454</v>
      </c>
      <c r="O956">
        <v>10199</v>
      </c>
      <c r="P956" t="s">
        <v>2883</v>
      </c>
    </row>
    <row r="957" spans="1:16" x14ac:dyDescent="0.25">
      <c r="A957" t="s">
        <v>2608</v>
      </c>
      <c r="B957" t="s">
        <v>961</v>
      </c>
      <c r="C957" s="3">
        <v>45586</v>
      </c>
      <c r="D957" t="s">
        <v>1024</v>
      </c>
      <c r="E957">
        <v>24.99</v>
      </c>
      <c r="F957" t="s">
        <v>1042</v>
      </c>
      <c r="G957">
        <v>49</v>
      </c>
      <c r="H957" t="s">
        <v>2609</v>
      </c>
      <c r="I957" t="s">
        <v>2609</v>
      </c>
      <c r="J957">
        <v>401</v>
      </c>
      <c r="K957">
        <v>5</v>
      </c>
      <c r="L957" t="s">
        <v>2514</v>
      </c>
      <c r="M957">
        <v>10728</v>
      </c>
      <c r="N957">
        <v>4773</v>
      </c>
      <c r="O957">
        <v>15501</v>
      </c>
      <c r="P957" t="s">
        <v>2883</v>
      </c>
    </row>
    <row r="958" spans="1:16" x14ac:dyDescent="0.25">
      <c r="A958" t="s">
        <v>1774</v>
      </c>
      <c r="B958" t="s">
        <v>775</v>
      </c>
      <c r="C958" s="3">
        <v>43024</v>
      </c>
      <c r="D958" t="s">
        <v>1024</v>
      </c>
      <c r="E958">
        <v>29.99</v>
      </c>
      <c r="F958" t="s">
        <v>1042</v>
      </c>
      <c r="G958">
        <v>35</v>
      </c>
      <c r="H958" t="s">
        <v>1775</v>
      </c>
      <c r="I958" t="s">
        <v>1212</v>
      </c>
      <c r="J958">
        <v>400</v>
      </c>
      <c r="K958">
        <v>8</v>
      </c>
      <c r="L958" t="s">
        <v>1022</v>
      </c>
      <c r="M958">
        <v>14730</v>
      </c>
      <c r="N958">
        <v>3048</v>
      </c>
      <c r="O958">
        <v>17778</v>
      </c>
      <c r="P958" t="s">
        <v>2883</v>
      </c>
    </row>
    <row r="959" spans="1:16" x14ac:dyDescent="0.25">
      <c r="A959" t="s">
        <v>2068</v>
      </c>
      <c r="B959" t="s">
        <v>951</v>
      </c>
      <c r="C959" s="3"/>
      <c r="D959" t="s">
        <v>1024</v>
      </c>
      <c r="F959" t="s">
        <v>1047</v>
      </c>
      <c r="G959">
        <v>77</v>
      </c>
      <c r="H959" t="s">
        <v>1956</v>
      </c>
      <c r="I959" t="s">
        <v>1555</v>
      </c>
      <c r="J959">
        <v>392</v>
      </c>
      <c r="K959">
        <v>8</v>
      </c>
      <c r="L959" t="s">
        <v>1022</v>
      </c>
      <c r="M959">
        <v>6496</v>
      </c>
      <c r="N959">
        <v>659</v>
      </c>
      <c r="O959">
        <v>7155</v>
      </c>
      <c r="P959" t="s">
        <v>2883</v>
      </c>
    </row>
    <row r="960" spans="1:16" x14ac:dyDescent="0.25">
      <c r="A960" t="s">
        <v>1643</v>
      </c>
      <c r="B960" t="s">
        <v>20</v>
      </c>
      <c r="C960" s="3">
        <v>41918</v>
      </c>
      <c r="D960" t="s">
        <v>1024</v>
      </c>
      <c r="E960">
        <v>39.99</v>
      </c>
      <c r="F960" t="s">
        <v>1189</v>
      </c>
      <c r="G960">
        <v>50</v>
      </c>
      <c r="H960" t="s">
        <v>1644</v>
      </c>
      <c r="I960" t="s">
        <v>1555</v>
      </c>
      <c r="J960">
        <v>390</v>
      </c>
      <c r="K960">
        <v>8</v>
      </c>
      <c r="L960" t="s">
        <v>1022</v>
      </c>
      <c r="M960">
        <v>33469</v>
      </c>
      <c r="N960">
        <v>2760</v>
      </c>
      <c r="O960">
        <v>36229</v>
      </c>
      <c r="P960" t="s">
        <v>2883</v>
      </c>
    </row>
    <row r="961" spans="1:16" x14ac:dyDescent="0.25">
      <c r="A961" t="s">
        <v>1645</v>
      </c>
      <c r="B961" t="s">
        <v>419</v>
      </c>
      <c r="C961" s="3">
        <v>44908</v>
      </c>
      <c r="D961" t="s">
        <v>1024</v>
      </c>
      <c r="E961">
        <v>39.99</v>
      </c>
      <c r="F961" t="s">
        <v>1113</v>
      </c>
      <c r="G961">
        <v>44</v>
      </c>
      <c r="H961" t="s">
        <v>1646</v>
      </c>
      <c r="I961" t="s">
        <v>1646</v>
      </c>
      <c r="J961">
        <v>390</v>
      </c>
      <c r="K961">
        <v>8</v>
      </c>
      <c r="L961" t="s">
        <v>1022</v>
      </c>
      <c r="M961">
        <v>15396</v>
      </c>
      <c r="N961">
        <v>1941</v>
      </c>
      <c r="O961">
        <v>17337</v>
      </c>
      <c r="P961" t="s">
        <v>2883</v>
      </c>
    </row>
    <row r="962" spans="1:16" x14ac:dyDescent="0.25">
      <c r="A962" t="s">
        <v>1647</v>
      </c>
      <c r="B962" t="s">
        <v>122</v>
      </c>
      <c r="C962" s="3">
        <v>40128</v>
      </c>
      <c r="D962" t="s">
        <v>1024</v>
      </c>
      <c r="E962">
        <v>19.989999999999998</v>
      </c>
      <c r="F962" t="s">
        <v>1189</v>
      </c>
      <c r="G962">
        <v>50</v>
      </c>
      <c r="H962" t="s">
        <v>1456</v>
      </c>
      <c r="I962" t="s">
        <v>1272</v>
      </c>
      <c r="J962">
        <v>390</v>
      </c>
      <c r="K962">
        <v>8</v>
      </c>
      <c r="L962" t="s">
        <v>1022</v>
      </c>
      <c r="M962">
        <v>5829</v>
      </c>
      <c r="N962">
        <v>681</v>
      </c>
      <c r="O962">
        <v>6510</v>
      </c>
      <c r="P962" t="s">
        <v>2883</v>
      </c>
    </row>
    <row r="963" spans="1:16" x14ac:dyDescent="0.25">
      <c r="A963" t="s">
        <v>2503</v>
      </c>
      <c r="B963" t="s">
        <v>55</v>
      </c>
      <c r="C963" s="3">
        <v>45706</v>
      </c>
      <c r="D963" t="s">
        <v>1024</v>
      </c>
      <c r="E963">
        <v>49.99</v>
      </c>
      <c r="F963" t="s">
        <v>1042</v>
      </c>
      <c r="G963">
        <v>50</v>
      </c>
      <c r="H963" t="s">
        <v>1105</v>
      </c>
      <c r="I963" t="s">
        <v>1106</v>
      </c>
      <c r="J963">
        <v>390</v>
      </c>
      <c r="K963">
        <v>6</v>
      </c>
      <c r="L963" t="s">
        <v>2338</v>
      </c>
      <c r="M963">
        <v>7679</v>
      </c>
      <c r="N963">
        <v>2179</v>
      </c>
      <c r="O963">
        <v>9858</v>
      </c>
      <c r="P963" t="s">
        <v>2883</v>
      </c>
    </row>
    <row r="964" spans="1:16" x14ac:dyDescent="0.25">
      <c r="A964" t="s">
        <v>1891</v>
      </c>
      <c r="B964" t="s">
        <v>586</v>
      </c>
      <c r="C964" s="3">
        <v>41578</v>
      </c>
      <c r="D964" t="s">
        <v>1019</v>
      </c>
      <c r="F964" t="s">
        <v>1020</v>
      </c>
      <c r="G964">
        <v>115</v>
      </c>
      <c r="H964" t="s">
        <v>1892</v>
      </c>
      <c r="I964" t="s">
        <v>1893</v>
      </c>
      <c r="J964">
        <v>389</v>
      </c>
      <c r="K964">
        <v>8</v>
      </c>
      <c r="L964" t="s">
        <v>1022</v>
      </c>
      <c r="M964">
        <v>27077</v>
      </c>
      <c r="N964">
        <v>3332</v>
      </c>
      <c r="O964">
        <v>30409</v>
      </c>
      <c r="P964" t="s">
        <v>2882</v>
      </c>
    </row>
    <row r="965" spans="1:16" x14ac:dyDescent="0.25">
      <c r="A965" t="s">
        <v>1640</v>
      </c>
      <c r="B965" t="s">
        <v>498</v>
      </c>
      <c r="C965" s="3">
        <v>45616</v>
      </c>
      <c r="D965" t="s">
        <v>1024</v>
      </c>
      <c r="E965">
        <v>19.989999999999998</v>
      </c>
      <c r="F965" t="s">
        <v>1110</v>
      </c>
      <c r="G965">
        <v>120</v>
      </c>
      <c r="H965" t="s">
        <v>1641</v>
      </c>
      <c r="I965" t="s">
        <v>1641</v>
      </c>
      <c r="J965">
        <v>380</v>
      </c>
      <c r="K965">
        <v>8</v>
      </c>
      <c r="L965" t="s">
        <v>1022</v>
      </c>
      <c r="M965">
        <v>3802</v>
      </c>
      <c r="N965">
        <v>388</v>
      </c>
      <c r="O965">
        <v>4190</v>
      </c>
      <c r="P965" t="s">
        <v>2883</v>
      </c>
    </row>
    <row r="966" spans="1:16" x14ac:dyDescent="0.25">
      <c r="A966" t="s">
        <v>2692</v>
      </c>
      <c r="B966" t="s">
        <v>426</v>
      </c>
      <c r="C966" s="3">
        <v>45154</v>
      </c>
      <c r="D966" t="s">
        <v>1019</v>
      </c>
      <c r="F966" t="s">
        <v>1208</v>
      </c>
      <c r="G966">
        <v>97</v>
      </c>
      <c r="H966" t="s">
        <v>2693</v>
      </c>
      <c r="I966" t="s">
        <v>2693</v>
      </c>
      <c r="J966">
        <v>379</v>
      </c>
      <c r="K966">
        <v>9</v>
      </c>
      <c r="L966" t="s">
        <v>2077</v>
      </c>
      <c r="M966">
        <v>26129</v>
      </c>
      <c r="N966">
        <v>262</v>
      </c>
      <c r="O966">
        <v>26391</v>
      </c>
      <c r="P966" t="s">
        <v>2882</v>
      </c>
    </row>
    <row r="967" spans="1:16" x14ac:dyDescent="0.25">
      <c r="A967" t="s">
        <v>2694</v>
      </c>
      <c r="B967" t="s">
        <v>292</v>
      </c>
      <c r="C967" s="3">
        <v>45443</v>
      </c>
      <c r="D967" t="s">
        <v>1024</v>
      </c>
      <c r="F967" t="s">
        <v>1086</v>
      </c>
      <c r="G967">
        <v>50</v>
      </c>
      <c r="H967" t="s">
        <v>1256</v>
      </c>
      <c r="I967" t="s">
        <v>1035</v>
      </c>
      <c r="J967">
        <v>376</v>
      </c>
      <c r="K967">
        <v>6</v>
      </c>
      <c r="L967" t="s">
        <v>2338</v>
      </c>
      <c r="M967">
        <v>5332</v>
      </c>
      <c r="N967">
        <v>2153</v>
      </c>
      <c r="O967">
        <v>7485</v>
      </c>
      <c r="P967" t="s">
        <v>2883</v>
      </c>
    </row>
    <row r="968" spans="1:16" x14ac:dyDescent="0.25">
      <c r="A968" t="s">
        <v>1652</v>
      </c>
      <c r="B968" t="s">
        <v>821</v>
      </c>
      <c r="C968" s="3">
        <v>45954</v>
      </c>
      <c r="D968" t="s">
        <v>1024</v>
      </c>
      <c r="E968">
        <v>19.989999999999998</v>
      </c>
      <c r="F968" t="s">
        <v>1026</v>
      </c>
      <c r="G968">
        <v>52</v>
      </c>
      <c r="H968" t="s">
        <v>1653</v>
      </c>
      <c r="I968" t="s">
        <v>1254</v>
      </c>
      <c r="J968">
        <v>374</v>
      </c>
      <c r="K968">
        <v>8</v>
      </c>
      <c r="L968" t="s">
        <v>1022</v>
      </c>
      <c r="M968">
        <v>2778</v>
      </c>
      <c r="N968">
        <v>367</v>
      </c>
      <c r="O968">
        <v>3145</v>
      </c>
      <c r="P968" t="s">
        <v>2883</v>
      </c>
    </row>
    <row r="969" spans="1:16" x14ac:dyDescent="0.25">
      <c r="A969" t="s">
        <v>2069</v>
      </c>
      <c r="B969" t="s">
        <v>909</v>
      </c>
      <c r="C969" s="3">
        <v>42514</v>
      </c>
      <c r="D969" t="s">
        <v>1024</v>
      </c>
      <c r="E969">
        <v>59.99</v>
      </c>
      <c r="F969" t="s">
        <v>1047</v>
      </c>
      <c r="G969">
        <v>185</v>
      </c>
      <c r="H969" t="s">
        <v>1644</v>
      </c>
      <c r="I969" t="s">
        <v>1555</v>
      </c>
      <c r="J969">
        <v>374</v>
      </c>
      <c r="K969">
        <v>8</v>
      </c>
      <c r="L969" t="s">
        <v>1022</v>
      </c>
      <c r="M969">
        <v>23157</v>
      </c>
      <c r="N969">
        <v>5272</v>
      </c>
      <c r="O969">
        <v>28429</v>
      </c>
      <c r="P969" t="s">
        <v>2883</v>
      </c>
    </row>
    <row r="970" spans="1:16" x14ac:dyDescent="0.25">
      <c r="A970" t="s">
        <v>2073</v>
      </c>
      <c r="B970" t="s">
        <v>251</v>
      </c>
      <c r="C970" s="3">
        <v>40834</v>
      </c>
      <c r="D970" t="s">
        <v>1024</v>
      </c>
      <c r="E970">
        <v>14.99</v>
      </c>
      <c r="F970" t="s">
        <v>1047</v>
      </c>
      <c r="G970">
        <v>118</v>
      </c>
      <c r="H970" t="s">
        <v>2074</v>
      </c>
      <c r="I970" t="s">
        <v>2074</v>
      </c>
      <c r="J970">
        <v>374</v>
      </c>
      <c r="K970">
        <v>8</v>
      </c>
      <c r="L970" t="s">
        <v>1022</v>
      </c>
      <c r="M970">
        <v>12877</v>
      </c>
      <c r="N970">
        <v>1008</v>
      </c>
      <c r="O970">
        <v>13885</v>
      </c>
      <c r="P970" t="s">
        <v>2883</v>
      </c>
    </row>
    <row r="971" spans="1:16" x14ac:dyDescent="0.25">
      <c r="A971" t="s">
        <v>2326</v>
      </c>
      <c r="B971" t="s">
        <v>541</v>
      </c>
      <c r="C971" s="3">
        <v>45636</v>
      </c>
      <c r="D971" t="s">
        <v>1024</v>
      </c>
      <c r="E971">
        <v>14.99</v>
      </c>
      <c r="F971" t="s">
        <v>1110</v>
      </c>
      <c r="G971">
        <v>26</v>
      </c>
      <c r="H971" t="s">
        <v>2327</v>
      </c>
      <c r="I971" t="s">
        <v>1565</v>
      </c>
      <c r="J971">
        <v>372</v>
      </c>
      <c r="K971">
        <v>9</v>
      </c>
      <c r="L971" t="s">
        <v>2077</v>
      </c>
      <c r="M971">
        <v>27763</v>
      </c>
      <c r="N971">
        <v>592</v>
      </c>
      <c r="O971">
        <v>28355</v>
      </c>
      <c r="P971" t="s">
        <v>2883</v>
      </c>
    </row>
    <row r="972" spans="1:16" x14ac:dyDescent="0.25">
      <c r="A972" t="s">
        <v>1654</v>
      </c>
      <c r="B972" t="s">
        <v>345</v>
      </c>
      <c r="C972" s="3">
        <v>43573</v>
      </c>
      <c r="D972" t="s">
        <v>1024</v>
      </c>
      <c r="E972">
        <v>19.989999999999998</v>
      </c>
      <c r="F972" t="s">
        <v>1110</v>
      </c>
      <c r="G972">
        <v>103</v>
      </c>
      <c r="H972" t="s">
        <v>1655</v>
      </c>
      <c r="I972" t="s">
        <v>1656</v>
      </c>
      <c r="J972">
        <v>371</v>
      </c>
      <c r="K972">
        <v>8</v>
      </c>
      <c r="L972" t="s">
        <v>1022</v>
      </c>
      <c r="M972">
        <v>15196</v>
      </c>
      <c r="N972">
        <v>2214</v>
      </c>
      <c r="O972">
        <v>17410</v>
      </c>
      <c r="P972" t="s">
        <v>2883</v>
      </c>
    </row>
    <row r="973" spans="1:16" x14ac:dyDescent="0.25">
      <c r="A973" t="s">
        <v>1659</v>
      </c>
      <c r="B973" t="s">
        <v>123</v>
      </c>
      <c r="C973" s="3">
        <v>40855</v>
      </c>
      <c r="D973" t="s">
        <v>1024</v>
      </c>
      <c r="E973">
        <v>39.99</v>
      </c>
      <c r="F973" t="s">
        <v>1189</v>
      </c>
      <c r="G973">
        <v>76</v>
      </c>
      <c r="H973" t="s">
        <v>1456</v>
      </c>
      <c r="I973" t="s">
        <v>1272</v>
      </c>
      <c r="J973">
        <v>371</v>
      </c>
      <c r="K973">
        <v>8</v>
      </c>
      <c r="L973" t="s">
        <v>1022</v>
      </c>
      <c r="M973">
        <v>13724</v>
      </c>
      <c r="N973">
        <v>1954</v>
      </c>
      <c r="O973">
        <v>15678</v>
      </c>
      <c r="P973" t="s">
        <v>2883</v>
      </c>
    </row>
    <row r="974" spans="1:16" x14ac:dyDescent="0.25">
      <c r="A974" t="s">
        <v>2331</v>
      </c>
      <c r="B974" t="s">
        <v>776</v>
      </c>
      <c r="C974" s="3">
        <v>41701</v>
      </c>
      <c r="D974" t="s">
        <v>1024</v>
      </c>
      <c r="E974">
        <v>29.99</v>
      </c>
      <c r="F974" t="s">
        <v>1042</v>
      </c>
      <c r="G974">
        <v>50</v>
      </c>
      <c r="H974" t="s">
        <v>1105</v>
      </c>
      <c r="I974" t="s">
        <v>1212</v>
      </c>
      <c r="J974">
        <v>367</v>
      </c>
      <c r="K974">
        <v>9</v>
      </c>
      <c r="L974" t="s">
        <v>2077</v>
      </c>
      <c r="M974">
        <v>35438</v>
      </c>
      <c r="N974">
        <v>1064</v>
      </c>
      <c r="O974">
        <v>36502</v>
      </c>
      <c r="P974" t="s">
        <v>2883</v>
      </c>
    </row>
    <row r="975" spans="1:16" x14ac:dyDescent="0.25">
      <c r="A975" t="s">
        <v>2874</v>
      </c>
      <c r="B975" t="s">
        <v>136</v>
      </c>
      <c r="C975" s="3">
        <v>45433</v>
      </c>
      <c r="D975" t="s">
        <v>1019</v>
      </c>
      <c r="F975" t="s">
        <v>1020</v>
      </c>
      <c r="G975">
        <v>2</v>
      </c>
      <c r="H975" t="s">
        <v>2875</v>
      </c>
      <c r="I975" t="s">
        <v>2875</v>
      </c>
      <c r="J975">
        <v>367</v>
      </c>
      <c r="K975">
        <v>6</v>
      </c>
      <c r="L975" t="s">
        <v>2338</v>
      </c>
      <c r="M975">
        <v>773</v>
      </c>
      <c r="N975">
        <v>282</v>
      </c>
      <c r="O975">
        <v>1055</v>
      </c>
      <c r="P975" t="s">
        <v>2882</v>
      </c>
    </row>
    <row r="976" spans="1:16" x14ac:dyDescent="0.25">
      <c r="A976" t="s">
        <v>1648</v>
      </c>
      <c r="B976" t="s">
        <v>80</v>
      </c>
      <c r="C976" s="3">
        <v>43879</v>
      </c>
      <c r="D976" t="s">
        <v>1024</v>
      </c>
      <c r="E976">
        <v>14.99</v>
      </c>
      <c r="F976" t="s">
        <v>1110</v>
      </c>
      <c r="G976">
        <v>54</v>
      </c>
      <c r="H976" t="s">
        <v>1649</v>
      </c>
      <c r="I976" t="s">
        <v>1649</v>
      </c>
      <c r="J976">
        <v>365</v>
      </c>
      <c r="K976">
        <v>8</v>
      </c>
      <c r="L976" t="s">
        <v>1022</v>
      </c>
      <c r="M976">
        <v>24418</v>
      </c>
      <c r="N976">
        <v>1324</v>
      </c>
      <c r="O976">
        <v>25742</v>
      </c>
      <c r="P976" t="s">
        <v>2883</v>
      </c>
    </row>
    <row r="977" spans="1:16" x14ac:dyDescent="0.25">
      <c r="A977" t="s">
        <v>2332</v>
      </c>
      <c r="B977" t="s">
        <v>405</v>
      </c>
      <c r="C977" s="3">
        <v>43913</v>
      </c>
      <c r="D977" t="s">
        <v>1024</v>
      </c>
      <c r="E977">
        <v>59.99</v>
      </c>
      <c r="F977" t="s">
        <v>1113</v>
      </c>
      <c r="G977">
        <v>42</v>
      </c>
      <c r="H977" t="s">
        <v>1021</v>
      </c>
      <c r="I977" t="s">
        <v>1021</v>
      </c>
      <c r="J977">
        <v>363</v>
      </c>
      <c r="K977">
        <v>9</v>
      </c>
      <c r="L977" t="s">
        <v>2077</v>
      </c>
      <c r="M977">
        <v>68691</v>
      </c>
      <c r="N977">
        <v>1238</v>
      </c>
      <c r="O977">
        <v>69929</v>
      </c>
      <c r="P977" t="s">
        <v>2883</v>
      </c>
    </row>
    <row r="978" spans="1:16" x14ac:dyDescent="0.25">
      <c r="A978" t="s">
        <v>2070</v>
      </c>
      <c r="B978" t="s">
        <v>674</v>
      </c>
      <c r="C978" s="3">
        <v>46112</v>
      </c>
      <c r="D978" t="s">
        <v>1024</v>
      </c>
      <c r="E978">
        <v>11.99</v>
      </c>
      <c r="F978" t="s">
        <v>1047</v>
      </c>
      <c r="G978">
        <v>23</v>
      </c>
      <c r="H978" t="s">
        <v>2071</v>
      </c>
      <c r="I978" t="s">
        <v>2072</v>
      </c>
      <c r="J978">
        <v>358</v>
      </c>
      <c r="K978">
        <v>8</v>
      </c>
      <c r="L978" t="s">
        <v>1022</v>
      </c>
      <c r="M978">
        <v>2274</v>
      </c>
      <c r="N978">
        <v>396</v>
      </c>
      <c r="O978">
        <v>2670</v>
      </c>
      <c r="P978" t="s">
        <v>2883</v>
      </c>
    </row>
    <row r="979" spans="1:16" x14ac:dyDescent="0.25">
      <c r="A979" t="s">
        <v>2510</v>
      </c>
      <c r="B979" t="s">
        <v>360</v>
      </c>
      <c r="C979" s="3">
        <v>43717</v>
      </c>
      <c r="D979" t="s">
        <v>1024</v>
      </c>
      <c r="E979">
        <v>29.99</v>
      </c>
      <c r="F979" t="s">
        <v>1113</v>
      </c>
      <c r="G979">
        <v>181</v>
      </c>
      <c r="H979" t="s">
        <v>2511</v>
      </c>
      <c r="I979" t="s">
        <v>1106</v>
      </c>
      <c r="J979">
        <v>353</v>
      </c>
      <c r="K979">
        <v>6</v>
      </c>
      <c r="L979" t="s">
        <v>2338</v>
      </c>
      <c r="M979">
        <v>6923</v>
      </c>
      <c r="N979">
        <v>2654</v>
      </c>
      <c r="O979">
        <v>9577</v>
      </c>
      <c r="P979" t="s">
        <v>2883</v>
      </c>
    </row>
    <row r="980" spans="1:16" x14ac:dyDescent="0.25">
      <c r="A980" t="s">
        <v>2616</v>
      </c>
      <c r="B980" t="s">
        <v>464</v>
      </c>
      <c r="C980" s="3">
        <v>45862</v>
      </c>
      <c r="D980" t="s">
        <v>1024</v>
      </c>
      <c r="E980">
        <v>39.99</v>
      </c>
      <c r="F980" t="s">
        <v>1189</v>
      </c>
      <c r="G980">
        <v>65</v>
      </c>
      <c r="H980" t="s">
        <v>1311</v>
      </c>
      <c r="I980" t="s">
        <v>1311</v>
      </c>
      <c r="J980">
        <v>352</v>
      </c>
      <c r="K980">
        <v>5</v>
      </c>
      <c r="L980" t="s">
        <v>2514</v>
      </c>
      <c r="M980">
        <v>5256</v>
      </c>
      <c r="N980">
        <v>5463</v>
      </c>
      <c r="O980">
        <v>10719</v>
      </c>
      <c r="P980" t="s">
        <v>2883</v>
      </c>
    </row>
    <row r="981" spans="1:16" x14ac:dyDescent="0.25">
      <c r="A981" t="s">
        <v>1205</v>
      </c>
      <c r="B981" t="s">
        <v>297</v>
      </c>
      <c r="C981" s="3">
        <v>40164</v>
      </c>
      <c r="D981" t="s">
        <v>1024</v>
      </c>
      <c r="E981">
        <v>19.989999999999998</v>
      </c>
      <c r="F981" t="s">
        <v>1042</v>
      </c>
      <c r="H981" t="s">
        <v>1206</v>
      </c>
      <c r="I981" t="s">
        <v>1051</v>
      </c>
      <c r="J981">
        <v>350</v>
      </c>
      <c r="K981">
        <v>8</v>
      </c>
      <c r="L981" t="s">
        <v>1022</v>
      </c>
      <c r="M981">
        <v>31496</v>
      </c>
      <c r="N981">
        <v>7328</v>
      </c>
      <c r="O981">
        <v>38824</v>
      </c>
      <c r="P981" t="s">
        <v>2883</v>
      </c>
    </row>
    <row r="982" spans="1:16" x14ac:dyDescent="0.25">
      <c r="A982" t="s">
        <v>2507</v>
      </c>
      <c r="B982" t="s">
        <v>948</v>
      </c>
      <c r="C982" s="3">
        <v>44686</v>
      </c>
      <c r="D982" t="s">
        <v>1024</v>
      </c>
      <c r="E982">
        <v>44.99</v>
      </c>
      <c r="F982" t="s">
        <v>1047</v>
      </c>
      <c r="G982">
        <v>68</v>
      </c>
      <c r="H982" t="s">
        <v>2508</v>
      </c>
      <c r="I982" t="s">
        <v>2509</v>
      </c>
      <c r="J982">
        <v>349</v>
      </c>
      <c r="K982">
        <v>6</v>
      </c>
      <c r="L982" t="s">
        <v>2338</v>
      </c>
      <c r="M982">
        <v>7289</v>
      </c>
      <c r="N982">
        <v>2081</v>
      </c>
      <c r="O982">
        <v>9370</v>
      </c>
      <c r="P982" t="s">
        <v>2883</v>
      </c>
    </row>
    <row r="983" spans="1:16" x14ac:dyDescent="0.25">
      <c r="A983" t="s">
        <v>1776</v>
      </c>
      <c r="B983" t="s">
        <v>596</v>
      </c>
      <c r="C983" s="3">
        <v>45995</v>
      </c>
      <c r="D983" t="s">
        <v>1024</v>
      </c>
      <c r="E983">
        <v>49.99</v>
      </c>
      <c r="F983" t="s">
        <v>1042</v>
      </c>
      <c r="G983">
        <v>37</v>
      </c>
      <c r="H983" t="s">
        <v>1043</v>
      </c>
      <c r="I983" t="s">
        <v>1043</v>
      </c>
      <c r="J983">
        <v>346</v>
      </c>
      <c r="K983">
        <v>8</v>
      </c>
      <c r="L983" t="s">
        <v>1022</v>
      </c>
      <c r="M983">
        <v>1149</v>
      </c>
      <c r="N983">
        <v>218</v>
      </c>
      <c r="O983">
        <v>1367</v>
      </c>
      <c r="P983" t="s">
        <v>2883</v>
      </c>
    </row>
    <row r="984" spans="1:16" x14ac:dyDescent="0.25">
      <c r="A984" t="s">
        <v>1777</v>
      </c>
      <c r="B984" t="s">
        <v>840</v>
      </c>
      <c r="C984" s="3">
        <v>40814</v>
      </c>
      <c r="D984" t="s">
        <v>1024</v>
      </c>
      <c r="E984">
        <v>4.99</v>
      </c>
      <c r="F984" t="s">
        <v>1042</v>
      </c>
      <c r="G984">
        <v>99</v>
      </c>
      <c r="H984" t="s">
        <v>1778</v>
      </c>
      <c r="I984" t="s">
        <v>1778</v>
      </c>
      <c r="J984">
        <v>346</v>
      </c>
      <c r="K984">
        <v>8</v>
      </c>
      <c r="L984" t="s">
        <v>1022</v>
      </c>
      <c r="M984">
        <v>29161</v>
      </c>
      <c r="N984">
        <v>1688</v>
      </c>
      <c r="O984">
        <v>30849</v>
      </c>
      <c r="P984" t="s">
        <v>2883</v>
      </c>
    </row>
    <row r="985" spans="1:16" x14ac:dyDescent="0.25">
      <c r="A985" t="s">
        <v>2504</v>
      </c>
      <c r="B985" t="s">
        <v>264</v>
      </c>
      <c r="C985" s="3">
        <v>45498</v>
      </c>
      <c r="D985" t="s">
        <v>1024</v>
      </c>
      <c r="E985">
        <v>59.99</v>
      </c>
      <c r="F985" t="s">
        <v>1189</v>
      </c>
      <c r="G985">
        <v>39</v>
      </c>
      <c r="H985" t="s">
        <v>2505</v>
      </c>
      <c r="I985" t="s">
        <v>2506</v>
      </c>
      <c r="J985">
        <v>346</v>
      </c>
      <c r="K985">
        <v>6</v>
      </c>
      <c r="L985" t="s">
        <v>2338</v>
      </c>
      <c r="M985">
        <v>3575</v>
      </c>
      <c r="N985">
        <v>1039</v>
      </c>
      <c r="O985">
        <v>4614</v>
      </c>
      <c r="P985" t="s">
        <v>2883</v>
      </c>
    </row>
    <row r="986" spans="1:16" x14ac:dyDescent="0.25">
      <c r="A986" t="s">
        <v>1894</v>
      </c>
      <c r="B986" t="s">
        <v>488</v>
      </c>
      <c r="C986" s="3">
        <v>43369</v>
      </c>
      <c r="D986" t="s">
        <v>1019</v>
      </c>
      <c r="F986" t="s">
        <v>1113</v>
      </c>
      <c r="G986">
        <v>46</v>
      </c>
      <c r="H986" t="s">
        <v>1895</v>
      </c>
      <c r="I986" t="s">
        <v>1043</v>
      </c>
      <c r="J986">
        <v>345</v>
      </c>
      <c r="K986">
        <v>8</v>
      </c>
      <c r="L986" t="s">
        <v>1022</v>
      </c>
      <c r="M986">
        <v>14462</v>
      </c>
      <c r="N986">
        <v>2446</v>
      </c>
      <c r="O986">
        <v>16908</v>
      </c>
      <c r="P986" t="s">
        <v>2882</v>
      </c>
    </row>
    <row r="987" spans="1:16" x14ac:dyDescent="0.25">
      <c r="A987" t="s">
        <v>1660</v>
      </c>
      <c r="B987" t="s">
        <v>113</v>
      </c>
      <c r="C987" s="3">
        <v>46051</v>
      </c>
      <c r="D987" t="s">
        <v>1024</v>
      </c>
      <c r="E987">
        <v>29.99</v>
      </c>
      <c r="F987" t="s">
        <v>1086</v>
      </c>
      <c r="G987">
        <v>52</v>
      </c>
      <c r="H987" t="s">
        <v>1661</v>
      </c>
      <c r="I987" t="s">
        <v>1661</v>
      </c>
      <c r="J987">
        <v>344</v>
      </c>
      <c r="K987">
        <v>8</v>
      </c>
      <c r="L987" t="s">
        <v>1022</v>
      </c>
      <c r="M987">
        <v>9750</v>
      </c>
      <c r="N987">
        <v>571</v>
      </c>
      <c r="O987">
        <v>10321</v>
      </c>
      <c r="P987" t="s">
        <v>2883</v>
      </c>
    </row>
    <row r="988" spans="1:16" x14ac:dyDescent="0.25">
      <c r="A988" t="s">
        <v>2610</v>
      </c>
      <c r="B988" t="s">
        <v>746</v>
      </c>
      <c r="C988" s="3">
        <v>41935</v>
      </c>
      <c r="D988" t="s">
        <v>1024</v>
      </c>
      <c r="E988">
        <v>39.99</v>
      </c>
      <c r="F988" t="s">
        <v>1047</v>
      </c>
      <c r="G988">
        <v>90</v>
      </c>
      <c r="H988" t="s">
        <v>1122</v>
      </c>
      <c r="I988" t="s">
        <v>1123</v>
      </c>
      <c r="J988">
        <v>341</v>
      </c>
      <c r="K988">
        <v>5</v>
      </c>
      <c r="L988" t="s">
        <v>2514</v>
      </c>
      <c r="M988">
        <v>9202</v>
      </c>
      <c r="N988">
        <v>6756</v>
      </c>
      <c r="O988">
        <v>15958</v>
      </c>
      <c r="P988" t="s">
        <v>2883</v>
      </c>
    </row>
    <row r="989" spans="1:16" x14ac:dyDescent="0.25">
      <c r="A989" t="s">
        <v>2615</v>
      </c>
      <c r="B989" t="s">
        <v>4</v>
      </c>
      <c r="C989" s="3">
        <v>43222</v>
      </c>
      <c r="D989" t="s">
        <v>1024</v>
      </c>
      <c r="E989">
        <v>39.99</v>
      </c>
      <c r="F989" t="s">
        <v>1047</v>
      </c>
      <c r="G989">
        <v>137</v>
      </c>
      <c r="H989" t="s">
        <v>1644</v>
      </c>
      <c r="I989" t="s">
        <v>1555</v>
      </c>
      <c r="J989">
        <v>339</v>
      </c>
      <c r="K989">
        <v>5</v>
      </c>
      <c r="L989" t="s">
        <v>2514</v>
      </c>
      <c r="M989">
        <v>5731</v>
      </c>
      <c r="N989">
        <v>2535</v>
      </c>
      <c r="O989">
        <v>8266</v>
      </c>
      <c r="P989" t="s">
        <v>2883</v>
      </c>
    </row>
    <row r="990" spans="1:16" x14ac:dyDescent="0.25">
      <c r="A990" t="s">
        <v>1650</v>
      </c>
      <c r="B990" t="s">
        <v>88</v>
      </c>
      <c r="C990" s="3">
        <v>45336</v>
      </c>
      <c r="D990" t="s">
        <v>1024</v>
      </c>
      <c r="E990">
        <v>19.989999999999998</v>
      </c>
      <c r="F990" t="s">
        <v>1208</v>
      </c>
      <c r="G990">
        <v>43</v>
      </c>
      <c r="H990" t="s">
        <v>1651</v>
      </c>
      <c r="I990" t="s">
        <v>1651</v>
      </c>
      <c r="J990">
        <v>338</v>
      </c>
      <c r="K990">
        <v>8</v>
      </c>
      <c r="L990" t="s">
        <v>1022</v>
      </c>
      <c r="M990">
        <v>4799</v>
      </c>
      <c r="N990">
        <v>268</v>
      </c>
      <c r="O990">
        <v>5067</v>
      </c>
      <c r="P990" t="s">
        <v>2883</v>
      </c>
    </row>
    <row r="991" spans="1:16" x14ac:dyDescent="0.25">
      <c r="A991" t="s">
        <v>2611</v>
      </c>
      <c r="B991" t="s">
        <v>413</v>
      </c>
      <c r="C991" s="3">
        <v>41668</v>
      </c>
      <c r="D991" t="s">
        <v>1024</v>
      </c>
      <c r="E991">
        <v>7.99</v>
      </c>
      <c r="F991" t="s">
        <v>1042</v>
      </c>
      <c r="G991">
        <v>112</v>
      </c>
      <c r="H991" t="s">
        <v>2612</v>
      </c>
      <c r="I991" t="s">
        <v>2612</v>
      </c>
      <c r="J991">
        <v>335</v>
      </c>
      <c r="K991">
        <v>5</v>
      </c>
      <c r="L991" t="s">
        <v>2514</v>
      </c>
      <c r="M991">
        <v>10207</v>
      </c>
      <c r="N991">
        <v>6776</v>
      </c>
      <c r="O991">
        <v>16983</v>
      </c>
      <c r="P991" t="s">
        <v>2883</v>
      </c>
    </row>
    <row r="992" spans="1:16" x14ac:dyDescent="0.25">
      <c r="A992" t="s">
        <v>2876</v>
      </c>
      <c r="B992" t="s">
        <v>927</v>
      </c>
      <c r="C992" s="3">
        <v>44845</v>
      </c>
      <c r="D992" t="s">
        <v>1019</v>
      </c>
      <c r="F992" t="s">
        <v>1020</v>
      </c>
      <c r="H992" t="s">
        <v>2877</v>
      </c>
      <c r="I992" t="s">
        <v>2878</v>
      </c>
      <c r="J992">
        <v>335</v>
      </c>
      <c r="K992">
        <v>5</v>
      </c>
      <c r="L992" t="s">
        <v>2514</v>
      </c>
      <c r="M992">
        <v>2690</v>
      </c>
      <c r="N992">
        <v>2296</v>
      </c>
      <c r="O992">
        <v>4986</v>
      </c>
      <c r="P992" t="s">
        <v>2882</v>
      </c>
    </row>
    <row r="993" spans="1:16" x14ac:dyDescent="0.25">
      <c r="A993" t="s">
        <v>2335</v>
      </c>
      <c r="B993" t="s">
        <v>406</v>
      </c>
      <c r="C993" s="3">
        <v>45559</v>
      </c>
      <c r="D993" t="s">
        <v>1024</v>
      </c>
      <c r="E993">
        <v>6.66</v>
      </c>
      <c r="F993" t="s">
        <v>1042</v>
      </c>
      <c r="G993">
        <v>500</v>
      </c>
      <c r="H993" t="s">
        <v>2336</v>
      </c>
      <c r="I993" t="s">
        <v>2336</v>
      </c>
      <c r="J993">
        <v>331</v>
      </c>
      <c r="K993">
        <v>9</v>
      </c>
      <c r="L993" t="s">
        <v>2077</v>
      </c>
      <c r="M993">
        <v>20935</v>
      </c>
      <c r="N993">
        <v>867</v>
      </c>
      <c r="O993">
        <v>21802</v>
      </c>
      <c r="P993" t="s">
        <v>2883</v>
      </c>
    </row>
    <row r="994" spans="1:16" x14ac:dyDescent="0.25">
      <c r="A994" t="s">
        <v>2492</v>
      </c>
      <c r="B994" t="s">
        <v>244</v>
      </c>
      <c r="C994" s="3">
        <v>44267</v>
      </c>
      <c r="D994" t="s">
        <v>1024</v>
      </c>
      <c r="E994">
        <v>4.99</v>
      </c>
      <c r="F994" t="s">
        <v>1208</v>
      </c>
      <c r="G994">
        <v>29</v>
      </c>
      <c r="H994" t="s">
        <v>2493</v>
      </c>
      <c r="I994" t="s">
        <v>2493</v>
      </c>
      <c r="J994">
        <v>328</v>
      </c>
      <c r="K994">
        <v>6</v>
      </c>
      <c r="L994" t="s">
        <v>2338</v>
      </c>
      <c r="M994">
        <v>287</v>
      </c>
      <c r="N994">
        <v>91</v>
      </c>
      <c r="O994">
        <v>378</v>
      </c>
      <c r="P994" t="s">
        <v>2883</v>
      </c>
    </row>
    <row r="995" spans="1:16" x14ac:dyDescent="0.25">
      <c r="A995" t="s">
        <v>1779</v>
      </c>
      <c r="B995" t="s">
        <v>899</v>
      </c>
      <c r="C995" s="3">
        <v>41172</v>
      </c>
      <c r="D995" t="s">
        <v>1024</v>
      </c>
      <c r="E995">
        <v>19.989999999999998</v>
      </c>
      <c r="F995" t="s">
        <v>1042</v>
      </c>
      <c r="G995">
        <v>119</v>
      </c>
      <c r="H995" t="s">
        <v>1780</v>
      </c>
      <c r="I995" t="s">
        <v>1593</v>
      </c>
      <c r="J995">
        <v>327</v>
      </c>
      <c r="K995">
        <v>8</v>
      </c>
      <c r="L995" t="s">
        <v>1022</v>
      </c>
      <c r="M995">
        <v>22213</v>
      </c>
      <c r="N995">
        <v>1670</v>
      </c>
      <c r="O995">
        <v>23883</v>
      </c>
      <c r="P995" t="s">
        <v>2883</v>
      </c>
    </row>
    <row r="996" spans="1:16" x14ac:dyDescent="0.25">
      <c r="A996" t="s">
        <v>2333</v>
      </c>
      <c r="B996" t="s">
        <v>525</v>
      </c>
      <c r="C996" s="3">
        <v>41648</v>
      </c>
      <c r="D996" t="s">
        <v>1024</v>
      </c>
      <c r="E996">
        <v>29.99</v>
      </c>
      <c r="F996" t="s">
        <v>1189</v>
      </c>
      <c r="G996">
        <v>60</v>
      </c>
      <c r="H996" t="s">
        <v>2334</v>
      </c>
      <c r="I996" t="s">
        <v>1418</v>
      </c>
      <c r="J996">
        <v>326</v>
      </c>
      <c r="K996">
        <v>9</v>
      </c>
      <c r="L996" t="s">
        <v>2077</v>
      </c>
      <c r="M996">
        <v>47482</v>
      </c>
      <c r="N996">
        <v>2026</v>
      </c>
      <c r="O996">
        <v>49508</v>
      </c>
      <c r="P996" t="s">
        <v>2883</v>
      </c>
    </row>
    <row r="997" spans="1:16" x14ac:dyDescent="0.25">
      <c r="A997" t="s">
        <v>2613</v>
      </c>
      <c r="B997" t="s">
        <v>491</v>
      </c>
      <c r="C997" s="3">
        <v>45939</v>
      </c>
      <c r="D997" t="s">
        <v>1024</v>
      </c>
      <c r="E997">
        <v>39.99</v>
      </c>
      <c r="F997" t="s">
        <v>1113</v>
      </c>
      <c r="G997">
        <v>44</v>
      </c>
      <c r="H997" t="s">
        <v>2614</v>
      </c>
      <c r="I997" t="s">
        <v>1324</v>
      </c>
      <c r="J997">
        <v>321</v>
      </c>
      <c r="K997">
        <v>5</v>
      </c>
      <c r="L997" t="s">
        <v>2514</v>
      </c>
      <c r="M997">
        <v>4201</v>
      </c>
      <c r="N997">
        <v>4311</v>
      </c>
      <c r="O997">
        <v>8512</v>
      </c>
      <c r="P997" t="s">
        <v>2883</v>
      </c>
    </row>
    <row r="998" spans="1:16" x14ac:dyDescent="0.25">
      <c r="A998" t="s">
        <v>1662</v>
      </c>
      <c r="B998" t="s">
        <v>565</v>
      </c>
      <c r="C998" s="3">
        <v>43480</v>
      </c>
      <c r="D998" t="s">
        <v>1024</v>
      </c>
      <c r="E998">
        <v>29.99</v>
      </c>
      <c r="F998" t="s">
        <v>1110</v>
      </c>
      <c r="G998">
        <v>91</v>
      </c>
      <c r="H998" t="s">
        <v>1529</v>
      </c>
      <c r="I998" t="s">
        <v>1282</v>
      </c>
      <c r="J998">
        <v>311</v>
      </c>
      <c r="K998">
        <v>8</v>
      </c>
      <c r="L998" t="s">
        <v>1022</v>
      </c>
      <c r="M998">
        <v>14501</v>
      </c>
      <c r="N998">
        <v>1334</v>
      </c>
      <c r="O998">
        <v>15835</v>
      </c>
      <c r="P998" t="s">
        <v>2883</v>
      </c>
    </row>
    <row r="999" spans="1:16" x14ac:dyDescent="0.25">
      <c r="A999" t="s">
        <v>2328</v>
      </c>
      <c r="B999" t="s">
        <v>965</v>
      </c>
      <c r="C999" s="3">
        <v>45296</v>
      </c>
      <c r="D999" t="s">
        <v>1024</v>
      </c>
      <c r="E999">
        <v>19.989999999999998</v>
      </c>
      <c r="F999" t="s">
        <v>1110</v>
      </c>
      <c r="H999" t="s">
        <v>2329</v>
      </c>
      <c r="I999" t="s">
        <v>2330</v>
      </c>
      <c r="J999">
        <v>306</v>
      </c>
      <c r="K999">
        <v>9</v>
      </c>
      <c r="L999" t="s">
        <v>2077</v>
      </c>
      <c r="M999">
        <v>525</v>
      </c>
      <c r="N999">
        <v>25</v>
      </c>
      <c r="O999">
        <v>550</v>
      </c>
      <c r="P999" t="s">
        <v>2883</v>
      </c>
    </row>
    <row r="1000" spans="1:16" x14ac:dyDescent="0.25">
      <c r="A1000" t="s">
        <v>1657</v>
      </c>
      <c r="B1000" t="s">
        <v>477</v>
      </c>
      <c r="C1000" s="3">
        <v>45741</v>
      </c>
      <c r="D1000" t="s">
        <v>1024</v>
      </c>
      <c r="E1000">
        <v>19.989999999999998</v>
      </c>
      <c r="F1000" t="s">
        <v>1026</v>
      </c>
      <c r="G1000">
        <v>37</v>
      </c>
      <c r="H1000" t="s">
        <v>1658</v>
      </c>
      <c r="I1000" t="s">
        <v>1658</v>
      </c>
      <c r="J1000">
        <v>301</v>
      </c>
      <c r="K1000">
        <v>8</v>
      </c>
      <c r="L1000" t="s">
        <v>1022</v>
      </c>
      <c r="M1000">
        <v>117</v>
      </c>
      <c r="N1000">
        <v>12</v>
      </c>
      <c r="O1000">
        <v>129</v>
      </c>
      <c r="P1000" t="s">
        <v>2883</v>
      </c>
    </row>
    <row r="1001" spans="1:16" x14ac:dyDescent="0.25">
      <c r="A1001" t="s">
        <v>2617</v>
      </c>
      <c r="B1001" t="s">
        <v>201</v>
      </c>
      <c r="C1001" s="3"/>
      <c r="D1001" t="s">
        <v>1024</v>
      </c>
      <c r="F1001" t="s">
        <v>1189</v>
      </c>
      <c r="H1001" t="s">
        <v>1021</v>
      </c>
      <c r="I1001" t="s">
        <v>1021</v>
      </c>
      <c r="K1001">
        <v>0</v>
      </c>
      <c r="L1001" t="s">
        <v>2618</v>
      </c>
      <c r="M1001">
        <v>0</v>
      </c>
      <c r="N1001">
        <v>0</v>
      </c>
      <c r="O1001">
        <v>0</v>
      </c>
      <c r="P1001" t="s">
        <v>2883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FB5955-9CF2-40C2-BB6D-CAD87683B765}">
  <dimension ref="A1:E24"/>
  <sheetViews>
    <sheetView workbookViewId="0">
      <selection activeCell="B22" sqref="B22"/>
    </sheetView>
  </sheetViews>
  <sheetFormatPr defaultRowHeight="15" x14ac:dyDescent="0.25"/>
  <cols>
    <col min="1" max="1" width="26.7109375" bestFit="1" customWidth="1"/>
    <col min="2" max="2" width="12.5703125" bestFit="1" customWidth="1"/>
    <col min="3" max="4" width="19.140625" bestFit="1" customWidth="1"/>
    <col min="5" max="5" width="12" bestFit="1" customWidth="1"/>
  </cols>
  <sheetData>
    <row r="1" spans="1:5" x14ac:dyDescent="0.25">
      <c r="A1" s="1" t="s">
        <v>2879</v>
      </c>
      <c r="B1" t="s">
        <v>2880</v>
      </c>
      <c r="C1" t="s">
        <v>2885</v>
      </c>
      <c r="D1" t="str" cm="1">
        <f t="array" ref="D1:E16">A1:B16</f>
        <v>Game Name</v>
      </c>
      <c r="E1" t="str">
        <v>Player Count</v>
      </c>
    </row>
    <row r="2" spans="1:5" x14ac:dyDescent="0.25">
      <c r="A2" s="2" t="s">
        <v>230</v>
      </c>
      <c r="B2" s="4">
        <v>24424</v>
      </c>
      <c r="C2" s="5">
        <v>14.99</v>
      </c>
      <c r="D2" t="str">
        <v>Don't Starve Together</v>
      </c>
      <c r="E2">
        <v>24424</v>
      </c>
    </row>
    <row r="3" spans="1:5" x14ac:dyDescent="0.25">
      <c r="A3" s="2" t="s">
        <v>723</v>
      </c>
      <c r="B3" s="4">
        <v>25440</v>
      </c>
      <c r="C3" s="5">
        <v>39.99</v>
      </c>
      <c r="D3" t="str">
        <v>Satisfactory</v>
      </c>
      <c r="E3">
        <v>25440</v>
      </c>
    </row>
    <row r="4" spans="1:5" x14ac:dyDescent="0.25">
      <c r="A4" s="2" t="s">
        <v>555</v>
      </c>
      <c r="B4" s="4">
        <v>27300</v>
      </c>
      <c r="C4" s="5">
        <v>49.99</v>
      </c>
      <c r="D4" t="str">
        <v>Mount &amp; Blade II: Bannerlord</v>
      </c>
      <c r="E4">
        <v>27300</v>
      </c>
    </row>
    <row r="5" spans="1:5" x14ac:dyDescent="0.25">
      <c r="A5" s="2" t="s">
        <v>911</v>
      </c>
      <c r="B5" s="4">
        <v>29024</v>
      </c>
      <c r="C5" s="5">
        <v>59.99</v>
      </c>
      <c r="D5" t="str">
        <v>Total War: WARHAMMER III</v>
      </c>
      <c r="E5">
        <v>29024</v>
      </c>
    </row>
    <row r="6" spans="1:5" x14ac:dyDescent="0.25">
      <c r="A6" s="2" t="s">
        <v>742</v>
      </c>
      <c r="B6" s="4">
        <v>29477</v>
      </c>
      <c r="C6" s="5">
        <v>59.99</v>
      </c>
      <c r="D6" t="str">
        <v>Sid Meier’s Civilization® VI</v>
      </c>
      <c r="E6">
        <v>29477</v>
      </c>
    </row>
    <row r="7" spans="1:5" x14ac:dyDescent="0.25">
      <c r="A7" s="2" t="s">
        <v>701</v>
      </c>
      <c r="B7" s="4">
        <v>31237</v>
      </c>
      <c r="C7" s="5">
        <v>34.99</v>
      </c>
      <c r="D7" t="str">
        <v>RimWorld</v>
      </c>
      <c r="E7">
        <v>31237</v>
      </c>
    </row>
    <row r="8" spans="1:5" x14ac:dyDescent="0.25">
      <c r="A8" s="2" t="s">
        <v>1</v>
      </c>
      <c r="B8" s="4">
        <v>34229</v>
      </c>
      <c r="C8" s="5">
        <v>44.99</v>
      </c>
      <c r="D8" t="str">
        <v>7 Days to Die</v>
      </c>
      <c r="E8">
        <v>34229</v>
      </c>
    </row>
    <row r="9" spans="1:5" x14ac:dyDescent="0.25">
      <c r="A9" s="2" t="s">
        <v>342</v>
      </c>
      <c r="B9" s="4">
        <v>42516</v>
      </c>
      <c r="C9" s="5">
        <v>59.99</v>
      </c>
      <c r="D9" t="str">
        <v>Football Manager 26</v>
      </c>
      <c r="E9">
        <v>42516</v>
      </c>
    </row>
    <row r="10" spans="1:5" x14ac:dyDescent="0.25">
      <c r="A10" s="2" t="s">
        <v>410</v>
      </c>
      <c r="B10" s="4">
        <v>46308</v>
      </c>
      <c r="C10" s="5">
        <v>49.99</v>
      </c>
      <c r="D10" t="str">
        <v>Hearts of Iron IV</v>
      </c>
      <c r="E10">
        <v>46308</v>
      </c>
    </row>
    <row r="11" spans="1:5" x14ac:dyDescent="0.25">
      <c r="A11" s="2" t="s">
        <v>61</v>
      </c>
      <c r="B11" s="4">
        <v>54369</v>
      </c>
      <c r="C11" s="5">
        <v>59.99</v>
      </c>
      <c r="D11" t="str">
        <v>Baldur's Gate 3</v>
      </c>
      <c r="E11">
        <v>54369</v>
      </c>
    </row>
    <row r="12" spans="1:5" x14ac:dyDescent="0.25">
      <c r="D12">
        <v>0</v>
      </c>
      <c r="E12">
        <v>0</v>
      </c>
    </row>
    <row r="13" spans="1:5" x14ac:dyDescent="0.25">
      <c r="D13">
        <v>0</v>
      </c>
      <c r="E13">
        <v>0</v>
      </c>
    </row>
    <row r="14" spans="1:5" x14ac:dyDescent="0.25">
      <c r="D14">
        <v>0</v>
      </c>
      <c r="E14">
        <v>0</v>
      </c>
    </row>
    <row r="15" spans="1:5" x14ac:dyDescent="0.25">
      <c r="D15">
        <v>0</v>
      </c>
      <c r="E15">
        <v>0</v>
      </c>
    </row>
    <row r="16" spans="1:5" x14ac:dyDescent="0.25">
      <c r="D16">
        <v>0</v>
      </c>
      <c r="E16">
        <v>0</v>
      </c>
    </row>
    <row r="20" spans="1:2" x14ac:dyDescent="0.25">
      <c r="A20" t="s">
        <v>2893</v>
      </c>
      <c r="B20" s="5">
        <f>IFERROR(AVERAGE(C2:C16),"$0.00")</f>
        <v>47.49</v>
      </c>
    </row>
    <row r="22" spans="1:2" x14ac:dyDescent="0.25">
      <c r="A22" t="s">
        <v>2894</v>
      </c>
      <c r="B22" t="str" cm="1">
        <f t="array" ref="B22">_xlfn.TAKE(_xlfn._xlws.FILTER(D2:D11, (D2:D11&lt;&gt;"") * (D2:D11&lt;&gt;0)), -1)</f>
        <v>Baldur's Gate 3</v>
      </c>
    </row>
    <row r="24" spans="1:2" x14ac:dyDescent="0.25">
      <c r="A24" t="s">
        <v>2895</v>
      </c>
      <c r="B24" s="6">
        <f>IFERROR(AVERAGE(E2:E16),"N/A")</f>
        <v>22954.933333333334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434AA3-058F-4F3C-903F-9716ACD4B485}">
  <sheetPr>
    <pageSetUpPr autoPageBreaks="0"/>
  </sheetPr>
  <dimension ref="T3:V3"/>
  <sheetViews>
    <sheetView showGridLines="0" showRowColHeaders="0" tabSelected="1" zoomScaleNormal="100" workbookViewId="0">
      <selection activeCell="J41" sqref="J41"/>
    </sheetView>
  </sheetViews>
  <sheetFormatPr defaultRowHeight="15" x14ac:dyDescent="0.25"/>
  <sheetData>
    <row r="3" spans="20:22" ht="36" x14ac:dyDescent="0.55000000000000004">
      <c r="T3" s="16" t="s">
        <v>2896</v>
      </c>
      <c r="V3" s="7"/>
    </row>
  </sheetData>
  <sheetProtection sheet="1" objects="1" selectLockedCells="1" pivotTables="0" selectUnlockedCells="1"/>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3FEC4D-DD25-41C7-96FC-2F0A9D68B796}">
  <dimension ref="A1:B26"/>
  <sheetViews>
    <sheetView showGridLines="0" showRowColHeaders="0" workbookViewId="0">
      <selection activeCell="M32" sqref="M32"/>
    </sheetView>
  </sheetViews>
  <sheetFormatPr defaultRowHeight="15" x14ac:dyDescent="0.25"/>
  <cols>
    <col min="1" max="1" width="13.85546875" bestFit="1" customWidth="1"/>
    <col min="2" max="2" width="12.28515625" bestFit="1" customWidth="1"/>
  </cols>
  <sheetData>
    <row r="1" spans="1:2" x14ac:dyDescent="0.25">
      <c r="A1" s="1" t="s">
        <v>2879</v>
      </c>
      <c r="B1" t="s">
        <v>2880</v>
      </c>
    </row>
    <row r="2" spans="1:2" x14ac:dyDescent="0.25">
      <c r="A2" s="8" t="s">
        <v>61</v>
      </c>
      <c r="B2" s="9">
        <v>54369</v>
      </c>
    </row>
    <row r="3" spans="1:2" x14ac:dyDescent="0.25">
      <c r="A3" s="8" t="s">
        <v>207</v>
      </c>
      <c r="B3" s="9">
        <v>56127</v>
      </c>
    </row>
    <row r="4" spans="1:2" x14ac:dyDescent="0.25">
      <c r="A4" s="8" t="s">
        <v>945</v>
      </c>
      <c r="B4" s="9">
        <v>56360</v>
      </c>
    </row>
    <row r="5" spans="1:2" x14ac:dyDescent="0.25">
      <c r="A5" s="8" t="s">
        <v>897</v>
      </c>
      <c r="B5" s="9">
        <v>58825</v>
      </c>
    </row>
    <row r="6" spans="1:2" x14ac:dyDescent="0.25">
      <c r="A6" s="8" t="s">
        <v>755</v>
      </c>
      <c r="B6" s="9">
        <v>59167</v>
      </c>
    </row>
    <row r="7" spans="1:2" x14ac:dyDescent="0.25">
      <c r="A7" s="8" t="s">
        <v>833</v>
      </c>
      <c r="B7" s="9">
        <v>59187</v>
      </c>
    </row>
    <row r="8" spans="1:2" x14ac:dyDescent="0.25">
      <c r="A8" s="8" t="s">
        <v>794</v>
      </c>
      <c r="B8" s="9">
        <v>59392</v>
      </c>
    </row>
    <row r="9" spans="1:2" x14ac:dyDescent="0.25">
      <c r="A9" s="8" t="s">
        <v>364</v>
      </c>
      <c r="B9" s="9">
        <v>61549</v>
      </c>
    </row>
    <row r="10" spans="1:2" x14ac:dyDescent="0.25">
      <c r="A10" s="8" t="s">
        <v>947</v>
      </c>
      <c r="B10" s="9">
        <v>65746</v>
      </c>
    </row>
    <row r="11" spans="1:2" x14ac:dyDescent="0.25">
      <c r="A11" s="8" t="s">
        <v>941</v>
      </c>
      <c r="B11" s="9">
        <v>67312</v>
      </c>
    </row>
    <row r="12" spans="1:2" x14ac:dyDescent="0.25">
      <c r="A12" s="8" t="s">
        <v>196</v>
      </c>
      <c r="B12" s="9">
        <v>72787</v>
      </c>
    </row>
    <row r="13" spans="1:2" x14ac:dyDescent="0.25">
      <c r="A13" s="8" t="s">
        <v>383</v>
      </c>
      <c r="B13" s="9">
        <v>80142</v>
      </c>
    </row>
    <row r="14" spans="1:2" x14ac:dyDescent="0.25">
      <c r="A14" s="8" t="s">
        <v>28</v>
      </c>
      <c r="B14" s="9">
        <v>82358</v>
      </c>
    </row>
    <row r="15" spans="1:2" x14ac:dyDescent="0.25">
      <c r="A15" s="8" t="s">
        <v>509</v>
      </c>
      <c r="B15" s="9">
        <v>86292</v>
      </c>
    </row>
    <row r="16" spans="1:2" x14ac:dyDescent="0.25">
      <c r="A16" s="8" t="s">
        <v>384</v>
      </c>
      <c r="B16" s="9">
        <v>89897</v>
      </c>
    </row>
    <row r="17" spans="1:2" x14ac:dyDescent="0.25">
      <c r="A17" s="8" t="s">
        <v>841</v>
      </c>
      <c r="B17" s="9">
        <v>97795</v>
      </c>
    </row>
    <row r="18" spans="1:2" x14ac:dyDescent="0.25">
      <c r="A18" s="8" t="s">
        <v>261</v>
      </c>
      <c r="B18" s="9">
        <v>126730</v>
      </c>
    </row>
    <row r="19" spans="1:2" x14ac:dyDescent="0.25">
      <c r="A19" s="8" t="s">
        <v>716</v>
      </c>
      <c r="B19" s="9">
        <v>137474</v>
      </c>
    </row>
    <row r="20" spans="1:2" x14ac:dyDescent="0.25">
      <c r="A20" s="8" t="s">
        <v>100</v>
      </c>
      <c r="B20" s="9">
        <v>161822</v>
      </c>
    </row>
    <row r="21" spans="1:2" x14ac:dyDescent="0.25">
      <c r="A21" s="8" t="s">
        <v>334</v>
      </c>
      <c r="B21" s="9">
        <v>171838</v>
      </c>
    </row>
    <row r="22" spans="1:2" x14ac:dyDescent="0.25">
      <c r="A22" s="8" t="s">
        <v>831</v>
      </c>
      <c r="B22" s="9">
        <v>234374</v>
      </c>
    </row>
    <row r="23" spans="1:2" x14ac:dyDescent="0.25">
      <c r="A23" s="8" t="s">
        <v>669</v>
      </c>
      <c r="B23" s="9">
        <v>275556</v>
      </c>
    </row>
    <row r="24" spans="1:2" x14ac:dyDescent="0.25">
      <c r="A24" s="8" t="s">
        <v>621</v>
      </c>
      <c r="B24" s="9">
        <v>641309</v>
      </c>
    </row>
    <row r="25" spans="1:2" x14ac:dyDescent="0.25">
      <c r="A25" s="8" t="s">
        <v>234</v>
      </c>
      <c r="B25" s="9">
        <v>705245</v>
      </c>
    </row>
    <row r="26" spans="1:2" x14ac:dyDescent="0.25">
      <c r="A26" s="8" t="s">
        <v>166</v>
      </c>
      <c r="B26" s="9">
        <v>1069883</v>
      </c>
    </row>
  </sheetData>
  <sheetProtection sheet="1" objects="1" scenarios="1" selectLockedCells="1" selectUnlockedCells="1"/>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150A1-52B2-4E65-8694-E863798FADCA}">
  <dimension ref="A1:D22"/>
  <sheetViews>
    <sheetView showGridLines="0" showRowColHeaders="0" workbookViewId="0">
      <selection activeCell="D19" sqref="D19"/>
    </sheetView>
  </sheetViews>
  <sheetFormatPr defaultRowHeight="15" x14ac:dyDescent="0.25"/>
  <cols>
    <col min="1" max="1" width="26.85546875" bestFit="1" customWidth="1"/>
    <col min="2" max="2" width="16.140625" customWidth="1"/>
    <col min="3" max="3" width="13.42578125" bestFit="1" customWidth="1"/>
    <col min="4" max="4" width="19.5703125" bestFit="1" customWidth="1"/>
  </cols>
  <sheetData>
    <row r="1" spans="1:4" x14ac:dyDescent="0.25">
      <c r="A1" s="1" t="s">
        <v>2879</v>
      </c>
      <c r="B1" s="4" t="s">
        <v>2880</v>
      </c>
      <c r="C1" t="s">
        <v>2879</v>
      </c>
      <c r="D1" t="s">
        <v>2880</v>
      </c>
    </row>
    <row r="2" spans="1:4" x14ac:dyDescent="0.25">
      <c r="A2" s="8" t="s">
        <v>626</v>
      </c>
      <c r="B2" s="9">
        <v>52181</v>
      </c>
      <c r="C2" t="str" cm="1">
        <f t="array" ref="C2:D16">A2:B16</f>
        <v>Path of Exile 2</v>
      </c>
      <c r="D2">
        <v>52181</v>
      </c>
    </row>
    <row r="3" spans="1:4" x14ac:dyDescent="0.25">
      <c r="A3" s="8" t="s">
        <v>193</v>
      </c>
      <c r="B3" s="9">
        <v>53734</v>
      </c>
      <c r="C3" t="str">
        <v>DayZ</v>
      </c>
      <c r="D3">
        <v>53734</v>
      </c>
    </row>
    <row r="4" spans="1:4" x14ac:dyDescent="0.25">
      <c r="A4" s="8" t="s">
        <v>61</v>
      </c>
      <c r="B4" s="9">
        <v>54369</v>
      </c>
      <c r="C4" t="str">
        <v>Baldur's Gate 3</v>
      </c>
      <c r="D4">
        <v>54369</v>
      </c>
    </row>
    <row r="5" spans="1:4" x14ac:dyDescent="0.25">
      <c r="A5" s="8" t="s">
        <v>755</v>
      </c>
      <c r="B5" s="9">
        <v>59167</v>
      </c>
      <c r="C5" t="str">
        <v>Slay the Spire 2</v>
      </c>
      <c r="D5">
        <v>59167</v>
      </c>
    </row>
    <row r="6" spans="1:4" x14ac:dyDescent="0.25">
      <c r="A6" s="8" t="s">
        <v>794</v>
      </c>
      <c r="B6" s="9">
        <v>59392</v>
      </c>
      <c r="C6" t="str">
        <v>Stardew Valley</v>
      </c>
      <c r="D6">
        <v>59392</v>
      </c>
    </row>
    <row r="7" spans="1:4" x14ac:dyDescent="0.25">
      <c r="A7" s="8" t="s">
        <v>364</v>
      </c>
      <c r="B7" s="9">
        <v>61549</v>
      </c>
      <c r="C7" t="str">
        <v>Geometry Dash</v>
      </c>
      <c r="D7">
        <v>61549</v>
      </c>
    </row>
    <row r="8" spans="1:4" x14ac:dyDescent="0.25">
      <c r="A8" s="8" t="s">
        <v>941</v>
      </c>
      <c r="B8" s="9">
        <v>67312</v>
      </c>
      <c r="C8" t="str">
        <v>Wallpaper Engine</v>
      </c>
      <c r="D8">
        <v>67312</v>
      </c>
    </row>
    <row r="9" spans="1:4" x14ac:dyDescent="0.25">
      <c r="A9" s="8" t="s">
        <v>196</v>
      </c>
      <c r="B9" s="9">
        <v>72787</v>
      </c>
      <c r="C9" t="str">
        <v>Dead by Daylight</v>
      </c>
      <c r="D9">
        <v>72787</v>
      </c>
    </row>
    <row r="10" spans="1:4" x14ac:dyDescent="0.25">
      <c r="A10" s="8" t="s">
        <v>383</v>
      </c>
      <c r="B10" s="9">
        <v>80142</v>
      </c>
      <c r="C10" t="str">
        <v>Grand Theft Auto V Enhanced</v>
      </c>
      <c r="D10">
        <v>80142</v>
      </c>
    </row>
    <row r="11" spans="1:4" x14ac:dyDescent="0.25">
      <c r="A11" s="8" t="s">
        <v>384</v>
      </c>
      <c r="B11" s="9">
        <v>89897</v>
      </c>
      <c r="C11" t="str">
        <v>Grand Theft Auto V Legacy</v>
      </c>
      <c r="D11">
        <v>89897</v>
      </c>
    </row>
    <row r="12" spans="1:4" x14ac:dyDescent="0.25">
      <c r="A12" s="8" t="s">
        <v>841</v>
      </c>
      <c r="B12" s="9">
        <v>97795</v>
      </c>
      <c r="C12" t="str">
        <v>The Binding of Isaac: Rebirth</v>
      </c>
      <c r="D12">
        <v>97795</v>
      </c>
    </row>
    <row r="13" spans="1:4" x14ac:dyDescent="0.25">
      <c r="A13" s="8" t="s">
        <v>261</v>
      </c>
      <c r="B13" s="9">
        <v>126730</v>
      </c>
      <c r="C13" t="str">
        <v>EA SPORTS FC™ 26</v>
      </c>
      <c r="D13">
        <v>126730</v>
      </c>
    </row>
    <row r="14" spans="1:4" x14ac:dyDescent="0.25">
      <c r="A14" s="8" t="s">
        <v>716</v>
      </c>
      <c r="B14" s="9">
        <v>137474</v>
      </c>
      <c r="C14" t="str">
        <v>Rust</v>
      </c>
      <c r="D14">
        <v>137474</v>
      </c>
    </row>
    <row r="15" spans="1:4" x14ac:dyDescent="0.25">
      <c r="A15" s="8" t="s">
        <v>334</v>
      </c>
      <c r="B15" s="9">
        <v>171838</v>
      </c>
      <c r="C15" t="str">
        <v>FiveM</v>
      </c>
      <c r="D15">
        <v>171838</v>
      </c>
    </row>
    <row r="16" spans="1:4" x14ac:dyDescent="0.25">
      <c r="A16" s="8" t="s">
        <v>621</v>
      </c>
      <c r="B16" s="9">
        <v>641309</v>
      </c>
      <c r="C16" t="str">
        <v>Palworld</v>
      </c>
      <c r="D16">
        <v>641309</v>
      </c>
    </row>
    <row r="19" spans="1:2" x14ac:dyDescent="0.25">
      <c r="A19" s="1" t="s">
        <v>2887</v>
      </c>
      <c r="B19" t="s">
        <v>2898</v>
      </c>
    </row>
    <row r="20" spans="1:2" x14ac:dyDescent="0.25">
      <c r="A20" s="8" t="s">
        <v>2882</v>
      </c>
      <c r="B20" s="11">
        <v>0.4281009121524042</v>
      </c>
    </row>
    <row r="21" spans="1:2" x14ac:dyDescent="0.25">
      <c r="A21" s="8" t="s">
        <v>2883</v>
      </c>
      <c r="B21" s="11">
        <v>0.5718990878475958</v>
      </c>
    </row>
    <row r="22" spans="1:2" x14ac:dyDescent="0.25">
      <c r="A22" s="17"/>
      <c r="B22" s="18"/>
    </row>
  </sheetData>
  <sheetProtection sheet="1" objects="1" scenarios="1" selectLockedCells="1" pivotTables="0" selectUnlockedCells="1"/>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207FC-08A7-48BA-9D9A-643974AB85C6}">
  <dimension ref="A1:B11"/>
  <sheetViews>
    <sheetView showGridLines="0" showRowColHeaders="0" workbookViewId="0">
      <selection activeCell="N34" sqref="N34"/>
    </sheetView>
  </sheetViews>
  <sheetFormatPr defaultRowHeight="15" x14ac:dyDescent="0.25"/>
  <cols>
    <col min="1" max="1" width="14.28515625" bestFit="1" customWidth="1"/>
    <col min="2" max="2" width="12.5703125" bestFit="1" customWidth="1"/>
    <col min="3" max="3" width="11.7109375" bestFit="1" customWidth="1"/>
    <col min="4" max="5" width="7" bestFit="1" customWidth="1"/>
    <col min="6" max="7" width="8" bestFit="1" customWidth="1"/>
    <col min="8" max="8" width="6.85546875" bestFit="1" customWidth="1"/>
    <col min="9" max="11" width="8" bestFit="1" customWidth="1"/>
    <col min="12" max="12" width="10.5703125" bestFit="1" customWidth="1"/>
    <col min="13" max="18" width="9" bestFit="1" customWidth="1"/>
    <col min="19" max="19" width="8" bestFit="1" customWidth="1"/>
    <col min="20" max="21" width="9" bestFit="1" customWidth="1"/>
    <col min="22" max="22" width="8" bestFit="1" customWidth="1"/>
    <col min="23" max="26" width="9" bestFit="1" customWidth="1"/>
  </cols>
  <sheetData>
    <row r="1" spans="1:2" x14ac:dyDescent="0.25">
      <c r="A1" s="1" t="s">
        <v>2879</v>
      </c>
      <c r="B1" t="s">
        <v>2880</v>
      </c>
    </row>
    <row r="2" spans="1:2" x14ac:dyDescent="0.25">
      <c r="A2" s="8" t="s">
        <v>1020</v>
      </c>
      <c r="B2" s="9">
        <v>3728304</v>
      </c>
    </row>
    <row r="3" spans="1:2" x14ac:dyDescent="0.25">
      <c r="A3" s="8" t="s">
        <v>1042</v>
      </c>
      <c r="B3" s="9">
        <v>1436626</v>
      </c>
    </row>
    <row r="4" spans="1:2" x14ac:dyDescent="0.25">
      <c r="A4" s="8" t="s">
        <v>1047</v>
      </c>
      <c r="B4" s="9">
        <v>944201</v>
      </c>
    </row>
    <row r="5" spans="1:2" x14ac:dyDescent="0.25">
      <c r="A5" s="8" t="s">
        <v>1026</v>
      </c>
      <c r="B5" s="9">
        <v>583438</v>
      </c>
    </row>
    <row r="6" spans="1:2" x14ac:dyDescent="0.25">
      <c r="A6" s="8" t="s">
        <v>1189</v>
      </c>
      <c r="B6" s="9">
        <v>492687</v>
      </c>
    </row>
    <row r="7" spans="1:2" x14ac:dyDescent="0.25">
      <c r="A7" s="8" t="s">
        <v>1110</v>
      </c>
      <c r="B7" s="9">
        <v>468409</v>
      </c>
    </row>
    <row r="8" spans="1:2" x14ac:dyDescent="0.25">
      <c r="A8" s="8" t="s">
        <v>1113</v>
      </c>
      <c r="B8" s="9">
        <v>390167</v>
      </c>
    </row>
    <row r="9" spans="1:2" x14ac:dyDescent="0.25">
      <c r="A9" s="8" t="s">
        <v>1086</v>
      </c>
      <c r="B9" s="9">
        <v>283653</v>
      </c>
    </row>
    <row r="10" spans="1:2" x14ac:dyDescent="0.25">
      <c r="A10" s="8" t="s">
        <v>2892</v>
      </c>
      <c r="B10" s="9">
        <v>197632</v>
      </c>
    </row>
    <row r="11" spans="1:2" x14ac:dyDescent="0.25">
      <c r="A11" s="8" t="s">
        <v>1208</v>
      </c>
      <c r="B11" s="9">
        <v>193639</v>
      </c>
    </row>
  </sheetData>
  <sheetProtection sheet="1" objects="1" scenarios="1" selectLockedCells="1" pivotTables="0" selectUnlockedCells="1"/>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1B12E0-7BE4-41EA-8580-5527B439697E}">
  <dimension ref="A1:C25"/>
  <sheetViews>
    <sheetView showGridLines="0" showRowColHeaders="0" workbookViewId="0">
      <selection activeCell="B13" sqref="B13"/>
    </sheetView>
  </sheetViews>
  <sheetFormatPr defaultRowHeight="15" x14ac:dyDescent="0.25"/>
  <cols>
    <col min="1" max="1" width="13.42578125" bestFit="1" customWidth="1"/>
    <col min="2" max="2" width="12.5703125" bestFit="1" customWidth="1"/>
    <col min="3" max="3" width="27.85546875" bestFit="1" customWidth="1"/>
  </cols>
  <sheetData>
    <row r="1" spans="1:3" x14ac:dyDescent="0.25">
      <c r="A1" s="1" t="s">
        <v>2887</v>
      </c>
      <c r="B1" t="s">
        <v>2880</v>
      </c>
      <c r="C1" t="s">
        <v>2897</v>
      </c>
    </row>
    <row r="2" spans="1:3" x14ac:dyDescent="0.25">
      <c r="A2" s="8">
        <v>1998</v>
      </c>
      <c r="B2" s="10">
        <v>1085</v>
      </c>
      <c r="C2" s="11"/>
    </row>
    <row r="3" spans="1:3" x14ac:dyDescent="0.25">
      <c r="A3" s="8">
        <v>2000</v>
      </c>
      <c r="B3" s="10">
        <v>11820</v>
      </c>
      <c r="C3" s="11">
        <v>9.8940092165898612</v>
      </c>
    </row>
    <row r="4" spans="1:3" x14ac:dyDescent="0.25">
      <c r="A4" s="8">
        <v>2004</v>
      </c>
      <c r="B4" s="10">
        <v>6366</v>
      </c>
      <c r="C4" s="11">
        <v>-0.46142131979695433</v>
      </c>
    </row>
    <row r="5" spans="1:3" x14ac:dyDescent="0.25">
      <c r="A5" s="8">
        <v>2005</v>
      </c>
      <c r="B5" s="10">
        <v>1563</v>
      </c>
      <c r="C5" s="11">
        <v>-0.75447690857681438</v>
      </c>
    </row>
    <row r="6" spans="1:3" x14ac:dyDescent="0.25">
      <c r="A6" s="8">
        <v>2006</v>
      </c>
      <c r="B6" s="10">
        <v>42101</v>
      </c>
      <c r="C6" s="11">
        <v>25.936020473448497</v>
      </c>
    </row>
    <row r="7" spans="1:3" x14ac:dyDescent="0.25">
      <c r="A7" s="8">
        <v>2007</v>
      </c>
      <c r="B7" s="10">
        <v>61746</v>
      </c>
      <c r="C7" s="11">
        <v>0.46661599486948052</v>
      </c>
    </row>
    <row r="8" spans="1:3" x14ac:dyDescent="0.25">
      <c r="A8" s="8">
        <v>2008</v>
      </c>
      <c r="B8" s="10">
        <v>1566</v>
      </c>
      <c r="C8" s="11">
        <v>-0.97463803323292197</v>
      </c>
    </row>
    <row r="9" spans="1:3" x14ac:dyDescent="0.25">
      <c r="A9" s="8">
        <v>2009</v>
      </c>
      <c r="B9" s="10">
        <v>30708</v>
      </c>
      <c r="C9" s="11">
        <v>18.609195402298852</v>
      </c>
    </row>
    <row r="10" spans="1:3" x14ac:dyDescent="0.25">
      <c r="A10" s="8">
        <v>2010</v>
      </c>
      <c r="B10" s="10">
        <v>32138</v>
      </c>
      <c r="C10" s="11">
        <v>4.6567669662628632E-2</v>
      </c>
    </row>
    <row r="11" spans="1:3" x14ac:dyDescent="0.25">
      <c r="A11" s="8">
        <v>2011</v>
      </c>
      <c r="B11" s="10">
        <v>39289</v>
      </c>
      <c r="C11" s="11">
        <v>0.22250917916485158</v>
      </c>
    </row>
    <row r="12" spans="1:3" x14ac:dyDescent="0.25">
      <c r="A12" s="8">
        <v>2012</v>
      </c>
      <c r="B12" s="10">
        <v>83302</v>
      </c>
      <c r="C12" s="11">
        <v>1.1202372165237089</v>
      </c>
    </row>
    <row r="13" spans="1:3" x14ac:dyDescent="0.25">
      <c r="A13" s="8">
        <v>2013</v>
      </c>
      <c r="B13" s="10">
        <v>941364</v>
      </c>
      <c r="C13" s="11">
        <v>10.300617032004034</v>
      </c>
    </row>
    <row r="14" spans="1:3" x14ac:dyDescent="0.25">
      <c r="A14" s="8">
        <v>2014</v>
      </c>
      <c r="B14" s="10">
        <v>209684</v>
      </c>
      <c r="C14" s="11">
        <v>-0.77725513191496598</v>
      </c>
    </row>
    <row r="15" spans="1:3" x14ac:dyDescent="0.25">
      <c r="A15" s="8">
        <v>2015</v>
      </c>
      <c r="B15" s="10">
        <v>333463</v>
      </c>
      <c r="C15" s="11">
        <v>0.59031208866675566</v>
      </c>
    </row>
    <row r="16" spans="1:3" x14ac:dyDescent="0.25">
      <c r="A16" s="8">
        <v>2016</v>
      </c>
      <c r="B16" s="10">
        <v>371563</v>
      </c>
      <c r="C16" s="11">
        <v>0.11425555458926477</v>
      </c>
    </row>
    <row r="17" spans="1:3" x14ac:dyDescent="0.25">
      <c r="A17" s="8">
        <v>2017</v>
      </c>
      <c r="B17" s="10">
        <v>501647</v>
      </c>
      <c r="C17" s="11">
        <v>0.35009944477787081</v>
      </c>
    </row>
    <row r="18" spans="1:3" x14ac:dyDescent="0.25">
      <c r="A18" s="8">
        <v>2018</v>
      </c>
      <c r="B18" s="10">
        <v>435420</v>
      </c>
      <c r="C18" s="11">
        <v>-0.13201912898910986</v>
      </c>
    </row>
    <row r="19" spans="1:3" x14ac:dyDescent="0.25">
      <c r="A19" s="8">
        <v>2019</v>
      </c>
      <c r="B19" s="10">
        <v>215040</v>
      </c>
      <c r="C19" s="11">
        <v>-0.50613201047264711</v>
      </c>
    </row>
    <row r="20" spans="1:3" x14ac:dyDescent="0.25">
      <c r="A20" s="8">
        <v>2020</v>
      </c>
      <c r="B20" s="10">
        <v>457092</v>
      </c>
      <c r="C20" s="11">
        <v>1.1256138392857142</v>
      </c>
    </row>
    <row r="21" spans="1:3" x14ac:dyDescent="0.25">
      <c r="A21" s="8">
        <v>2021</v>
      </c>
      <c r="B21" s="10">
        <v>266529</v>
      </c>
      <c r="C21" s="11">
        <v>-0.41690294295240343</v>
      </c>
    </row>
    <row r="22" spans="1:3" x14ac:dyDescent="0.25">
      <c r="A22" s="8">
        <v>2022</v>
      </c>
      <c r="B22" s="10">
        <v>328745</v>
      </c>
      <c r="C22" s="11">
        <v>0.23343050850001312</v>
      </c>
    </row>
    <row r="23" spans="1:3" x14ac:dyDescent="0.25">
      <c r="A23" s="8">
        <v>2023</v>
      </c>
      <c r="B23" s="10">
        <v>1534674</v>
      </c>
      <c r="C23" s="11">
        <v>3.6682808864013139</v>
      </c>
    </row>
    <row r="24" spans="1:3" x14ac:dyDescent="0.25">
      <c r="A24" s="8">
        <v>2024</v>
      </c>
      <c r="B24" s="10">
        <v>676727</v>
      </c>
      <c r="C24" s="11">
        <v>-0.55904185514317695</v>
      </c>
    </row>
    <row r="25" spans="1:3" x14ac:dyDescent="0.25">
      <c r="A25" s="8">
        <v>2025</v>
      </c>
      <c r="B25" s="10">
        <v>1051643</v>
      </c>
      <c r="C25" s="11">
        <v>0.55401365691039373</v>
      </c>
    </row>
  </sheetData>
  <sheetProtection sheet="1" objects="1" selectLockedCells="1" selectUnlockedCells="1"/>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23245-6F10-4656-82D2-FD571E12E422}">
  <dimension ref="A1:C26"/>
  <sheetViews>
    <sheetView showGridLines="0" showRowColHeaders="0" workbookViewId="0">
      <selection activeCell="I40" sqref="I40"/>
    </sheetView>
  </sheetViews>
  <sheetFormatPr defaultRowHeight="15" x14ac:dyDescent="0.25"/>
  <cols>
    <col min="1" max="1" width="15" bestFit="1" customWidth="1"/>
    <col min="2" max="2" width="19.140625" bestFit="1" customWidth="1"/>
    <col min="3" max="3" width="15.42578125" bestFit="1" customWidth="1"/>
    <col min="4" max="4" width="20.140625" bestFit="1" customWidth="1"/>
  </cols>
  <sheetData>
    <row r="1" spans="1:3" x14ac:dyDescent="0.25">
      <c r="A1" s="1" t="s">
        <v>2884</v>
      </c>
      <c r="B1" t="s">
        <v>2885</v>
      </c>
      <c r="C1" t="s">
        <v>2886</v>
      </c>
    </row>
    <row r="2" spans="1:3" x14ac:dyDescent="0.25">
      <c r="A2" s="8">
        <v>1998</v>
      </c>
      <c r="B2" s="12">
        <v>9.99</v>
      </c>
      <c r="C2" s="11"/>
    </row>
    <row r="3" spans="1:3" x14ac:dyDescent="0.25">
      <c r="A3" s="8">
        <v>2000</v>
      </c>
      <c r="B3" s="12">
        <v>9.99</v>
      </c>
      <c r="C3" s="13">
        <v>0</v>
      </c>
    </row>
    <row r="4" spans="1:3" x14ac:dyDescent="0.25">
      <c r="A4" s="8">
        <v>2004</v>
      </c>
      <c r="B4" s="12">
        <v>9.99</v>
      </c>
      <c r="C4" s="13">
        <v>0</v>
      </c>
    </row>
    <row r="5" spans="1:3" x14ac:dyDescent="0.25">
      <c r="A5" s="8">
        <v>2005</v>
      </c>
      <c r="B5" s="12">
        <v>19.989999999999998</v>
      </c>
      <c r="C5" s="13">
        <v>1.0010010010010009</v>
      </c>
    </row>
    <row r="6" spans="1:3" x14ac:dyDescent="0.25">
      <c r="A6" s="8">
        <v>2006</v>
      </c>
      <c r="B6" s="12">
        <v>14.989999999999998</v>
      </c>
      <c r="C6" s="13">
        <v>-0.25012506253126565</v>
      </c>
    </row>
    <row r="7" spans="1:3" x14ac:dyDescent="0.25">
      <c r="A7" s="8">
        <v>2007</v>
      </c>
      <c r="B7" s="12">
        <v>9.99</v>
      </c>
      <c r="C7" s="13">
        <v>-0.33355570380253496</v>
      </c>
    </row>
    <row r="8" spans="1:3" x14ac:dyDescent="0.25">
      <c r="A8" s="8">
        <v>2008</v>
      </c>
      <c r="B8" s="12">
        <v>9.99</v>
      </c>
      <c r="C8" s="13">
        <v>0</v>
      </c>
    </row>
    <row r="9" spans="1:3" x14ac:dyDescent="0.25">
      <c r="A9" s="8">
        <v>2009</v>
      </c>
      <c r="B9" s="12">
        <v>17.132857142857141</v>
      </c>
      <c r="C9" s="13">
        <v>0.71500071500071471</v>
      </c>
    </row>
    <row r="10" spans="1:3" x14ac:dyDescent="0.25">
      <c r="A10" s="8">
        <v>2010</v>
      </c>
      <c r="B10" s="12">
        <v>24.156666666666666</v>
      </c>
      <c r="C10" s="13">
        <v>0.40996136635259472</v>
      </c>
    </row>
    <row r="11" spans="1:3" x14ac:dyDescent="0.25">
      <c r="A11" s="8">
        <v>2011</v>
      </c>
      <c r="B11" s="12">
        <v>16.614999999999998</v>
      </c>
      <c r="C11" s="13">
        <v>-0.3121981509590176</v>
      </c>
    </row>
    <row r="12" spans="1:3" x14ac:dyDescent="0.25">
      <c r="A12" s="8">
        <v>2012</v>
      </c>
      <c r="B12" s="12">
        <v>19.15666666666667</v>
      </c>
      <c r="C12" s="13">
        <v>0.15297422008225528</v>
      </c>
    </row>
    <row r="13" spans="1:3" x14ac:dyDescent="0.25">
      <c r="A13" s="8">
        <v>2013</v>
      </c>
      <c r="B13" s="12">
        <v>25.347142857142863</v>
      </c>
      <c r="C13" s="13">
        <v>0.32314996644211896</v>
      </c>
    </row>
    <row r="14" spans="1:3" x14ac:dyDescent="0.25">
      <c r="A14" s="8">
        <v>2014</v>
      </c>
      <c r="B14" s="12">
        <v>22.140000000000004</v>
      </c>
      <c r="C14" s="13">
        <v>-0.12652877191004908</v>
      </c>
    </row>
    <row r="15" spans="1:3" x14ac:dyDescent="0.25">
      <c r="A15" s="8">
        <v>2015</v>
      </c>
      <c r="B15" s="12">
        <v>27.28166666666667</v>
      </c>
      <c r="C15" s="13">
        <v>0.23223426678711223</v>
      </c>
    </row>
    <row r="16" spans="1:3" x14ac:dyDescent="0.25">
      <c r="A16" s="8">
        <v>2016</v>
      </c>
      <c r="B16" s="12">
        <v>27.297692307692312</v>
      </c>
      <c r="C16" s="13">
        <v>5.8741429625422316E-4</v>
      </c>
    </row>
    <row r="17" spans="1:3" x14ac:dyDescent="0.25">
      <c r="A17" s="8">
        <v>2017</v>
      </c>
      <c r="B17" s="12">
        <v>30.058965517241383</v>
      </c>
      <c r="C17" s="13">
        <v>0.10115408945286418</v>
      </c>
    </row>
    <row r="18" spans="1:3" x14ac:dyDescent="0.25">
      <c r="A18" s="8">
        <v>2018</v>
      </c>
      <c r="B18" s="12">
        <v>31.210930232558145</v>
      </c>
      <c r="C18" s="13">
        <v>3.8323498347140779E-2</v>
      </c>
    </row>
    <row r="19" spans="1:3" x14ac:dyDescent="0.25">
      <c r="A19" s="8">
        <v>2019</v>
      </c>
      <c r="B19" s="12">
        <v>35.01439024390244</v>
      </c>
      <c r="C19" s="13">
        <v>0.12186307755020578</v>
      </c>
    </row>
    <row r="20" spans="1:3" x14ac:dyDescent="0.25">
      <c r="A20" s="8">
        <v>2020</v>
      </c>
      <c r="B20" s="12">
        <v>32.297884615384618</v>
      </c>
      <c r="C20" s="13">
        <v>-7.7582548477790114E-2</v>
      </c>
    </row>
    <row r="21" spans="1:3" x14ac:dyDescent="0.25">
      <c r="A21" s="8">
        <v>2021</v>
      </c>
      <c r="B21" s="12">
        <v>31.609047619047622</v>
      </c>
      <c r="C21" s="13">
        <v>-2.1327619580660651E-2</v>
      </c>
    </row>
    <row r="22" spans="1:3" x14ac:dyDescent="0.25">
      <c r="A22" s="8">
        <v>2022</v>
      </c>
      <c r="B22" s="12">
        <v>39.143846153846155</v>
      </c>
      <c r="C22" s="13">
        <v>0.23837474085293417</v>
      </c>
    </row>
    <row r="23" spans="1:3" x14ac:dyDescent="0.25">
      <c r="A23" s="8">
        <v>2023</v>
      </c>
      <c r="B23" s="12">
        <v>38.530983606557349</v>
      </c>
      <c r="C23" s="13">
        <v>-1.5656676783371938E-2</v>
      </c>
    </row>
    <row r="24" spans="1:3" x14ac:dyDescent="0.25">
      <c r="A24" s="8">
        <v>2024</v>
      </c>
      <c r="B24" s="12">
        <v>37.513255813953421</v>
      </c>
      <c r="C24" s="13">
        <v>-2.6413231569586179E-2</v>
      </c>
    </row>
    <row r="25" spans="1:3" x14ac:dyDescent="0.25">
      <c r="A25" s="8">
        <v>2025</v>
      </c>
      <c r="B25" s="12">
        <v>36.60440677966092</v>
      </c>
      <c r="C25" s="13">
        <v>-2.4227410140029649E-2</v>
      </c>
    </row>
    <row r="26" spans="1:3" x14ac:dyDescent="0.25">
      <c r="A26" s="8">
        <v>2026</v>
      </c>
      <c r="B26" s="12">
        <v>27.989080459770086</v>
      </c>
      <c r="C26" s="13">
        <v>-0.23536309089095531</v>
      </c>
    </row>
  </sheetData>
  <sheetProtection sheet="1" objects="1" scenarios="1" selectLockedCells="1" selectUnlockedCells="1"/>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7B714-BFF1-4853-9550-840D1089A137}">
  <dimension ref="A1:C26"/>
  <sheetViews>
    <sheetView showGridLines="0" showRowColHeaders="0" workbookViewId="0">
      <selection activeCell="J44" sqref="J44"/>
    </sheetView>
  </sheetViews>
  <sheetFormatPr defaultRowHeight="15" x14ac:dyDescent="0.25"/>
  <cols>
    <col min="1" max="1" width="29.140625" bestFit="1" customWidth="1"/>
    <col min="2" max="2" width="26.42578125" bestFit="1" customWidth="1"/>
    <col min="3" max="3" width="27.140625" bestFit="1" customWidth="1"/>
    <col min="4" max="4" width="14" bestFit="1" customWidth="1"/>
    <col min="5" max="5" width="20.7109375" bestFit="1" customWidth="1"/>
  </cols>
  <sheetData>
    <row r="1" spans="1:3" x14ac:dyDescent="0.25">
      <c r="A1" s="1" t="s">
        <v>2887</v>
      </c>
      <c r="B1" t="s">
        <v>2888</v>
      </c>
      <c r="C1" t="s">
        <v>2889</v>
      </c>
    </row>
    <row r="2" spans="1:3" x14ac:dyDescent="0.25">
      <c r="A2" s="2" t="s">
        <v>116</v>
      </c>
      <c r="B2" s="14">
        <v>59.095672413611524</v>
      </c>
      <c r="C2" s="14">
        <v>40.904327586388483</v>
      </c>
    </row>
    <row r="3" spans="1:3" x14ac:dyDescent="0.25">
      <c r="A3" s="2" t="s">
        <v>669</v>
      </c>
      <c r="B3" s="14">
        <v>66.274276097432491</v>
      </c>
      <c r="C3" s="14">
        <v>33.725723902567502</v>
      </c>
    </row>
    <row r="4" spans="1:3" x14ac:dyDescent="0.25">
      <c r="A4" s="2" t="s">
        <v>945</v>
      </c>
      <c r="B4" s="14">
        <v>72.118814105664541</v>
      </c>
      <c r="C4" s="14">
        <v>27.881185894335452</v>
      </c>
    </row>
    <row r="5" spans="1:3" x14ac:dyDescent="0.25">
      <c r="A5" s="2" t="s">
        <v>28</v>
      </c>
      <c r="B5" s="14">
        <v>76.603941025796175</v>
      </c>
      <c r="C5" s="14">
        <v>23.396058974203829</v>
      </c>
    </row>
    <row r="6" spans="1:3" x14ac:dyDescent="0.25">
      <c r="A6" s="2" t="s">
        <v>196</v>
      </c>
      <c r="B6" s="14">
        <v>78.5583716754725</v>
      </c>
      <c r="C6" s="14">
        <v>21.441628324527503</v>
      </c>
    </row>
    <row r="7" spans="1:3" x14ac:dyDescent="0.25">
      <c r="A7" s="2" t="s">
        <v>211</v>
      </c>
      <c r="B7" s="14">
        <v>79.39260068766076</v>
      </c>
      <c r="C7" s="14">
        <v>20.607399312339233</v>
      </c>
    </row>
    <row r="8" spans="1:3" x14ac:dyDescent="0.25">
      <c r="A8" s="2" t="s">
        <v>32</v>
      </c>
      <c r="B8" s="14">
        <v>79.962848371902268</v>
      </c>
      <c r="C8" s="14">
        <v>20.037151628097728</v>
      </c>
    </row>
    <row r="9" spans="1:3" x14ac:dyDescent="0.25">
      <c r="A9" s="2" t="s">
        <v>412</v>
      </c>
      <c r="B9" s="14">
        <v>80.049122153036478</v>
      </c>
      <c r="C9" s="14">
        <v>19.950877846963525</v>
      </c>
    </row>
    <row r="10" spans="1:3" x14ac:dyDescent="0.25">
      <c r="A10" s="2" t="s">
        <v>897</v>
      </c>
      <c r="B10" s="14">
        <v>82.170860439116836</v>
      </c>
      <c r="C10" s="14">
        <v>17.829139560883164</v>
      </c>
    </row>
    <row r="11" spans="1:3" x14ac:dyDescent="0.25">
      <c r="A11" s="2" t="s">
        <v>384</v>
      </c>
      <c r="B11" s="14">
        <v>83.661666253409379</v>
      </c>
      <c r="C11" s="14">
        <v>16.338333746590628</v>
      </c>
    </row>
    <row r="12" spans="1:3" x14ac:dyDescent="0.25">
      <c r="A12" s="2" t="s">
        <v>716</v>
      </c>
      <c r="B12" s="14">
        <v>86.155633059022122</v>
      </c>
      <c r="C12" s="14">
        <v>13.844366940977885</v>
      </c>
    </row>
    <row r="13" spans="1:3" x14ac:dyDescent="0.25">
      <c r="A13" s="2" t="s">
        <v>166</v>
      </c>
      <c r="B13" s="14">
        <v>86.294331107840449</v>
      </c>
      <c r="C13" s="14">
        <v>13.705668892159553</v>
      </c>
    </row>
    <row r="14" spans="1:3" x14ac:dyDescent="0.25">
      <c r="A14" s="2" t="s">
        <v>234</v>
      </c>
      <c r="B14" s="14">
        <v>87.996701460575977</v>
      </c>
      <c r="C14" s="14">
        <v>12.003298539424028</v>
      </c>
    </row>
    <row r="15" spans="1:3" x14ac:dyDescent="0.25">
      <c r="A15" s="2" t="s">
        <v>181</v>
      </c>
      <c r="B15" s="14">
        <v>88.770164389645188</v>
      </c>
      <c r="C15" s="14">
        <v>11.229835610354815</v>
      </c>
    </row>
    <row r="16" spans="1:3" x14ac:dyDescent="0.25">
      <c r="A16" s="2" t="s">
        <v>833</v>
      </c>
      <c r="B16" s="14">
        <v>89.940096895708479</v>
      </c>
      <c r="C16" s="14">
        <v>10.059903104291521</v>
      </c>
    </row>
    <row r="17" spans="1:3" x14ac:dyDescent="0.25">
      <c r="A17" s="2" t="s">
        <v>685</v>
      </c>
      <c r="B17" s="14">
        <v>91.935915127189361</v>
      </c>
      <c r="C17" s="14">
        <v>8.0640848728106445</v>
      </c>
    </row>
    <row r="18" spans="1:3" x14ac:dyDescent="0.25">
      <c r="A18" s="2" t="s">
        <v>23</v>
      </c>
      <c r="B18" s="14">
        <v>92.016190600327718</v>
      </c>
      <c r="C18" s="14">
        <v>7.9838093996722774</v>
      </c>
    </row>
    <row r="19" spans="1:3" x14ac:dyDescent="0.25">
      <c r="A19" s="2" t="s">
        <v>270</v>
      </c>
      <c r="B19" s="14">
        <v>93.978064536609367</v>
      </c>
      <c r="C19" s="14">
        <v>6.0219354633906317</v>
      </c>
    </row>
    <row r="20" spans="1:3" x14ac:dyDescent="0.25">
      <c r="A20" s="2" t="s">
        <v>641</v>
      </c>
      <c r="B20" s="14">
        <v>94.312273083870025</v>
      </c>
      <c r="C20" s="14">
        <v>5.6877269161299742</v>
      </c>
    </row>
    <row r="21" spans="1:3" x14ac:dyDescent="0.25">
      <c r="A21" s="2" t="s">
        <v>61</v>
      </c>
      <c r="B21" s="14">
        <v>96.815667603548818</v>
      </c>
      <c r="C21" s="14">
        <v>3.1843323964511838</v>
      </c>
    </row>
    <row r="22" spans="1:3" x14ac:dyDescent="0.25">
      <c r="A22" s="2" t="s">
        <v>359</v>
      </c>
      <c r="B22" s="14">
        <v>97.040834301073858</v>
      </c>
      <c r="C22" s="14">
        <v>2.9591656989261339</v>
      </c>
    </row>
    <row r="23" spans="1:3" x14ac:dyDescent="0.25">
      <c r="A23" s="2" t="s">
        <v>482</v>
      </c>
      <c r="B23" s="14">
        <v>97.368298963093565</v>
      </c>
      <c r="C23" s="14">
        <v>2.6317010369064464</v>
      </c>
    </row>
    <row r="24" spans="1:3" x14ac:dyDescent="0.25">
      <c r="A24" s="2" t="s">
        <v>476</v>
      </c>
      <c r="B24" s="14">
        <v>97.459865174786302</v>
      </c>
      <c r="C24" s="14">
        <v>2.5401348252137046</v>
      </c>
    </row>
    <row r="25" spans="1:3" x14ac:dyDescent="0.25">
      <c r="A25" s="2" t="s">
        <v>837</v>
      </c>
      <c r="B25" s="14">
        <v>97.46253716362331</v>
      </c>
      <c r="C25" s="14">
        <v>2.5374628363766929</v>
      </c>
    </row>
    <row r="26" spans="1:3" x14ac:dyDescent="0.25">
      <c r="A26" s="2" t="s">
        <v>794</v>
      </c>
      <c r="B26" s="14">
        <v>98.847883892659567</v>
      </c>
      <c r="C26" s="14">
        <v>1.15211610734044</v>
      </c>
    </row>
  </sheetData>
  <sheetProtection sheet="1" objects="1" scenarios="1" selectLockedCells="1" pivotTables="0" selectUnlockedCells="1"/>
  <pageMargins left="0.7" right="0.7" top="0.75" bottom="0.75" header="0.3" footer="0.3"/>
  <pageSetup orientation="portrait" r:id="rId2"/>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70699-0D1B-4F47-8B41-AEC813DEF28F}">
  <dimension ref="A1:B26"/>
  <sheetViews>
    <sheetView showGridLines="0" showRowColHeaders="0" workbookViewId="0">
      <selection activeCell="B5" sqref="B5"/>
    </sheetView>
  </sheetViews>
  <sheetFormatPr defaultRowHeight="15" x14ac:dyDescent="0.25"/>
  <cols>
    <col min="1" max="1" width="27" bestFit="1" customWidth="1"/>
    <col min="2" max="2" width="26.140625" bestFit="1" customWidth="1"/>
    <col min="3" max="3" width="22.85546875" bestFit="1" customWidth="1"/>
    <col min="4" max="4" width="19.5703125" bestFit="1" customWidth="1"/>
  </cols>
  <sheetData>
    <row r="1" spans="1:2" x14ac:dyDescent="0.25">
      <c r="A1" s="1" t="s">
        <v>2891</v>
      </c>
      <c r="B1" t="s">
        <v>2890</v>
      </c>
    </row>
    <row r="2" spans="1:2" x14ac:dyDescent="0.25">
      <c r="A2" s="8" t="s">
        <v>1681</v>
      </c>
      <c r="B2" s="15">
        <v>59.99</v>
      </c>
    </row>
    <row r="3" spans="1:2" x14ac:dyDescent="0.25">
      <c r="A3" s="8" t="s">
        <v>1683</v>
      </c>
      <c r="B3" s="15">
        <v>59.99</v>
      </c>
    </row>
    <row r="4" spans="1:2" x14ac:dyDescent="0.25">
      <c r="A4" s="8" t="s">
        <v>1694</v>
      </c>
      <c r="B4" s="15">
        <v>59.99</v>
      </c>
    </row>
    <row r="5" spans="1:2" x14ac:dyDescent="0.25">
      <c r="A5" s="8" t="s">
        <v>1590</v>
      </c>
      <c r="B5" s="15">
        <v>61.989999999999995</v>
      </c>
    </row>
    <row r="6" spans="1:2" x14ac:dyDescent="0.25">
      <c r="A6" s="8" t="s">
        <v>1412</v>
      </c>
      <c r="B6" s="15">
        <v>64.989999999999995</v>
      </c>
    </row>
    <row r="7" spans="1:2" x14ac:dyDescent="0.25">
      <c r="A7" s="8" t="s">
        <v>1410</v>
      </c>
      <c r="B7" s="15">
        <v>64.989999999999995</v>
      </c>
    </row>
    <row r="8" spans="1:2" x14ac:dyDescent="0.25">
      <c r="A8" s="8" t="s">
        <v>1686</v>
      </c>
      <c r="B8" s="15">
        <v>64.989999999999995</v>
      </c>
    </row>
    <row r="9" spans="1:2" x14ac:dyDescent="0.25">
      <c r="A9" s="8" t="s">
        <v>1220</v>
      </c>
      <c r="B9" s="15">
        <v>64.989999999999995</v>
      </c>
    </row>
    <row r="10" spans="1:2" x14ac:dyDescent="0.25">
      <c r="A10" s="8" t="s">
        <v>1727</v>
      </c>
      <c r="B10" s="15">
        <v>69.989999999999995</v>
      </c>
    </row>
    <row r="11" spans="1:2" x14ac:dyDescent="0.25">
      <c r="A11" s="8" t="s">
        <v>2518</v>
      </c>
      <c r="B11" s="15">
        <v>69.989999999999995</v>
      </c>
    </row>
    <row r="12" spans="1:2" x14ac:dyDescent="0.25">
      <c r="A12" s="8" t="s">
        <v>2350</v>
      </c>
      <c r="B12" s="15">
        <v>69.989999999999995</v>
      </c>
    </row>
    <row r="13" spans="1:2" x14ac:dyDescent="0.25">
      <c r="A13" s="8" t="s">
        <v>2565</v>
      </c>
      <c r="B13" s="15">
        <v>69.989999999999995</v>
      </c>
    </row>
    <row r="14" spans="1:2" x14ac:dyDescent="0.25">
      <c r="A14" s="8" t="s">
        <v>1425</v>
      </c>
      <c r="B14" s="15">
        <v>69.989999999999995</v>
      </c>
    </row>
    <row r="15" spans="1:2" x14ac:dyDescent="0.25">
      <c r="A15" s="8" t="s">
        <v>1751</v>
      </c>
      <c r="B15" s="15">
        <v>69.989999999999995</v>
      </c>
    </row>
    <row r="16" spans="1:2" x14ac:dyDescent="0.25">
      <c r="A16" s="8" t="s">
        <v>2598</v>
      </c>
      <c r="B16" s="15">
        <v>69.989999999999995</v>
      </c>
    </row>
    <row r="17" spans="1:2" x14ac:dyDescent="0.25">
      <c r="A17" s="8" t="s">
        <v>2558</v>
      </c>
      <c r="B17" s="15">
        <v>69.989999999999995</v>
      </c>
    </row>
    <row r="18" spans="1:2" x14ac:dyDescent="0.25">
      <c r="A18" s="8" t="s">
        <v>1600</v>
      </c>
      <c r="B18" s="15">
        <v>69.989999999999995</v>
      </c>
    </row>
    <row r="19" spans="1:2" x14ac:dyDescent="0.25">
      <c r="A19" s="8" t="s">
        <v>1631</v>
      </c>
      <c r="B19" s="15">
        <v>69.989999999999995</v>
      </c>
    </row>
    <row r="20" spans="1:2" x14ac:dyDescent="0.25">
      <c r="A20" s="8" t="s">
        <v>1493</v>
      </c>
      <c r="B20" s="15">
        <v>69.989999999999995</v>
      </c>
    </row>
    <row r="21" spans="1:2" x14ac:dyDescent="0.25">
      <c r="A21" s="8" t="s">
        <v>2550</v>
      </c>
      <c r="B21" s="15">
        <v>69.989999999999995</v>
      </c>
    </row>
    <row r="22" spans="1:2" x14ac:dyDescent="0.25">
      <c r="A22" s="8" t="s">
        <v>2547</v>
      </c>
      <c r="B22" s="15">
        <v>69.989999999999995</v>
      </c>
    </row>
    <row r="23" spans="1:2" x14ac:dyDescent="0.25">
      <c r="A23" s="8" t="s">
        <v>2444</v>
      </c>
      <c r="B23" s="15">
        <v>69.989999999999995</v>
      </c>
    </row>
    <row r="24" spans="1:2" x14ac:dyDescent="0.25">
      <c r="A24" s="8" t="s">
        <v>1928</v>
      </c>
      <c r="B24" s="15">
        <v>69.989999999999995</v>
      </c>
    </row>
    <row r="25" spans="1:2" x14ac:dyDescent="0.25">
      <c r="A25" s="8" t="s">
        <v>1768</v>
      </c>
      <c r="B25" s="15">
        <v>79.989999999999995</v>
      </c>
    </row>
    <row r="26" spans="1:2" x14ac:dyDescent="0.25">
      <c r="A26" s="8" t="s">
        <v>2513</v>
      </c>
      <c r="B26" s="15">
        <v>89.99</v>
      </c>
    </row>
  </sheetData>
  <sheetProtection sheet="1" selectLockedCells="1" selectUnlockedCells="1"/>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Props1.xml><?xml version="1.0" encoding="utf-8"?>
<ds:datastoreItem xmlns:ds="http://schemas.openxmlformats.org/officeDocument/2006/customXml" ds:itemID="{F056DC64-B30D-40CE-9F86-8F5FD18CDEB2}">
  <ds:schemaRefs/>
</ds:datastoreItem>
</file>

<file path=customXml/itemProps2.xml><?xml version="1.0" encoding="utf-8"?>
<ds:datastoreItem xmlns:ds="http://schemas.openxmlformats.org/officeDocument/2006/customXml" ds:itemID="{8CD7BCE2-DC4D-4810-A567-F688BAB314CE}">
  <ds:schemaRefs/>
</ds:datastoreItem>
</file>

<file path=customXml/itemProps3.xml><?xml version="1.0" encoding="utf-8"?>
<ds:datastoreItem xmlns:ds="http://schemas.openxmlformats.org/officeDocument/2006/customXml" ds:itemID="{7F891C76-EB9D-4561-8887-F3C74B30B698}">
  <ds:schemaRefs/>
</ds:datastoreItem>
</file>

<file path=customXml/itemProps4.xml><?xml version="1.0" encoding="utf-8"?>
<ds:datastoreItem xmlns:ds="http://schemas.openxmlformats.org/officeDocument/2006/customXml" ds:itemID="{7E466994-5DC2-4617-86A5-6D76EA38CD3B}">
  <ds:schemaRefs/>
</ds:datastoreItem>
</file>

<file path=customXml/itemProps5.xml><?xml version="1.0" encoding="utf-8"?>
<ds:datastoreItem xmlns:ds="http://schemas.openxmlformats.org/officeDocument/2006/customXml" ds:itemID="{DC123E63-C11D-4F50-94B5-DDDCD4C74677}">
  <ds:schemaRefs/>
</ds:datastoreItem>
</file>

<file path=customXml/itemProps6.xml><?xml version="1.0" encoding="utf-8"?>
<ds:datastoreItem xmlns:ds="http://schemas.openxmlformats.org/officeDocument/2006/customXml" ds:itemID="{38FB600C-0D51-461A-8CC1-3928FAFF5EC8}">
  <ds:schemaRefs/>
</ds:datastoreItem>
</file>

<file path=customXml/itemProps7.xml><?xml version="1.0" encoding="utf-8"?>
<ds:datastoreItem xmlns:ds="http://schemas.openxmlformats.org/officeDocument/2006/customXml" ds:itemID="{B55CE734-13EA-48D7-B391-339C0C3740F1}">
  <ds:schemaRefs/>
</ds:datastoreItem>
</file>

<file path=customXml/itemProps8.xml><?xml version="1.0" encoding="utf-8"?>
<ds:datastoreItem xmlns:ds="http://schemas.openxmlformats.org/officeDocument/2006/customXml" ds:itemID="{7513CA4A-C051-4918-9FD5-4C21BE0B7634}">
  <ds:schemaRefs/>
</ds:datastoreItem>
</file>

<file path=customXml/itemProps9.xml><?xml version="1.0" encoding="utf-8"?>
<ds:datastoreItem xmlns:ds="http://schemas.openxmlformats.org/officeDocument/2006/customXml" ds:itemID="{EE207D88-C628-4BA7-9573-12AD77F2B7CC}">
  <ds:schemaRefs>
    <ds:schemaRef ds:uri="http://schemas.microsoft.com/DataMashup"/>
  </ds:schemaRefs>
</ds:datastoreItem>
</file>

<file path=customXml/itemProps10.xml><?xml version="1.0" encoding="utf-8"?>
<ds:datastoreItem xmlns:ds="http://schemas.openxmlformats.org/officeDocument/2006/customXml" ds:itemID="{D80C7947-D374-4ADE-B7D3-992FA916C95F}">
  <ds:schemaRefs/>
</ds:datastoreItem>
</file>

<file path=customXml/itemProps11.xml><?xml version="1.0" encoding="utf-8"?>
<ds:datastoreItem xmlns:ds="http://schemas.openxmlformats.org/officeDocument/2006/customXml" ds:itemID="{2884A636-1AF0-4DD0-91E1-B15B27EC30D2}">
  <ds:schemaRefs/>
</ds:datastoreItem>
</file>

<file path=customXml/itemProps12.xml><?xml version="1.0" encoding="utf-8"?>
<ds:datastoreItem xmlns:ds="http://schemas.openxmlformats.org/officeDocument/2006/customXml" ds:itemID="{BBEFFA51-6212-401E-9B71-9512E5F5CADF}">
  <ds:schemaRefs/>
</ds:datastoreItem>
</file>

<file path=customXml/itemProps13.xml><?xml version="1.0" encoding="utf-8"?>
<ds:datastoreItem xmlns:ds="http://schemas.openxmlformats.org/officeDocument/2006/customXml" ds:itemID="{12E5C4B7-51FE-4B49-9764-3148AE05B55E}">
  <ds:schemaRefs/>
</ds:datastoreItem>
</file>

<file path=customXml/itemProps14.xml><?xml version="1.0" encoding="utf-8"?>
<ds:datastoreItem xmlns:ds="http://schemas.openxmlformats.org/officeDocument/2006/customXml" ds:itemID="{30DA769B-0B13-4CE1-969C-8476EEC6B81C}">
  <ds:schemaRefs/>
</ds:datastoreItem>
</file>

<file path=customXml/itemProps15.xml><?xml version="1.0" encoding="utf-8"?>
<ds:datastoreItem xmlns:ds="http://schemas.openxmlformats.org/officeDocument/2006/customXml" ds:itemID="{0EDD871B-5E72-44BE-9536-3348BF637ABF}">
  <ds:schemaRefs/>
</ds:datastoreItem>
</file>

<file path=customXml/itemProps16.xml><?xml version="1.0" encoding="utf-8"?>
<ds:datastoreItem xmlns:ds="http://schemas.openxmlformats.org/officeDocument/2006/customXml" ds:itemID="{A8FC73CE-5ED4-4F6D-A3D1-C089B9FCF79D}">
  <ds:schemaRefs/>
</ds:datastoreItem>
</file>

<file path=customXml/itemProps17.xml><?xml version="1.0" encoding="utf-8"?>
<ds:datastoreItem xmlns:ds="http://schemas.openxmlformats.org/officeDocument/2006/customXml" ds:itemID="{319289A2-C2C9-4D0B-8279-10DD51081A97}">
  <ds:schemaRefs/>
</ds:datastoreItem>
</file>

<file path=customXml/itemProps18.xml><?xml version="1.0" encoding="utf-8"?>
<ds:datastoreItem xmlns:ds="http://schemas.openxmlformats.org/officeDocument/2006/customXml" ds:itemID="{4C6DDEDF-80EF-4DD6-84C0-168C23F2C67E}">
  <ds:schemaRefs/>
</ds:datastoreItem>
</file>

<file path=customXml/itemProps19.xml><?xml version="1.0" encoding="utf-8"?>
<ds:datastoreItem xmlns:ds="http://schemas.openxmlformats.org/officeDocument/2006/customXml" ds:itemID="{238A44BB-9902-4E06-84D5-2A179297C4F3}">
  <ds:schemaRefs/>
</ds:datastoreItem>
</file>

<file path=customXml/itemProps20.xml><?xml version="1.0" encoding="utf-8"?>
<ds:datastoreItem xmlns:ds="http://schemas.openxmlformats.org/officeDocument/2006/customXml" ds:itemID="{AB5FA96B-771C-4875-94D3-3FF29BB1CC06}">
  <ds:schemaRefs/>
</ds:datastoreItem>
</file>

<file path=customXml/itemProps21.xml><?xml version="1.0" encoding="utf-8"?>
<ds:datastoreItem xmlns:ds="http://schemas.openxmlformats.org/officeDocument/2006/customXml" ds:itemID="{F9F5BC6A-4A72-4D82-99BA-8922EA12689C}">
  <ds:schemaRefs/>
</ds:datastoreItem>
</file>

<file path=customXml/itemProps22.xml><?xml version="1.0" encoding="utf-8"?>
<ds:datastoreItem xmlns:ds="http://schemas.openxmlformats.org/officeDocument/2006/customXml" ds:itemID="{00814AA0-2FE0-4458-914C-86BA37B11B85}">
  <ds:schemaRefs/>
</ds:datastoreItem>
</file>

<file path=customXml/itemProps23.xml><?xml version="1.0" encoding="utf-8"?>
<ds:datastoreItem xmlns:ds="http://schemas.openxmlformats.org/officeDocument/2006/customXml" ds:itemID="{6E668969-B368-4EE4-BA03-6E743C36EC94}">
  <ds:schemaRefs/>
</ds:datastoreItem>
</file>

<file path=customXml/itemProps24.xml><?xml version="1.0" encoding="utf-8"?>
<ds:datastoreItem xmlns:ds="http://schemas.openxmlformats.org/officeDocument/2006/customXml" ds:itemID="{AB6CCB2B-8F18-41D9-B417-EB4FF354F945}">
  <ds:schemaRefs/>
</ds:datastoreItem>
</file>

<file path=customXml/itemProps25.xml><?xml version="1.0" encoding="utf-8"?>
<ds:datastoreItem xmlns:ds="http://schemas.openxmlformats.org/officeDocument/2006/customXml" ds:itemID="{F8B2F7EA-45C5-4B30-81A8-C71211A6AEE7}">
  <ds:schemaRefs/>
</ds:datastoreItem>
</file>

<file path=customXml/itemProps26.xml><?xml version="1.0" encoding="utf-8"?>
<ds:datastoreItem xmlns:ds="http://schemas.openxmlformats.org/officeDocument/2006/customXml" ds:itemID="{673C3FF1-767D-40CA-AF98-0900D04E6EDC}">
  <ds:schemaRefs/>
</ds:datastoreItem>
</file>

<file path=customXml/itemProps27.xml><?xml version="1.0" encoding="utf-8"?>
<ds:datastoreItem xmlns:ds="http://schemas.openxmlformats.org/officeDocument/2006/customXml" ds:itemID="{2A75FA57-648A-45E4-BC1B-72279BDBBA88}">
  <ds:schemaRefs/>
</ds:datastoreItem>
</file>

<file path=customXml/itemProps28.xml><?xml version="1.0" encoding="utf-8"?>
<ds:datastoreItem xmlns:ds="http://schemas.openxmlformats.org/officeDocument/2006/customXml" ds:itemID="{D438A35A-83EA-40E1-BF8D-222FD4AEA57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steam_db_table</vt:lpstr>
      <vt:lpstr>db_data</vt:lpstr>
      <vt:lpstr>Steam_Dataset_Dashboard</vt:lpstr>
      <vt:lpstr>Steam Games by Popularity</vt:lpstr>
      <vt:lpstr>Top 15 Free Vs. Paid</vt:lpstr>
      <vt:lpstr>Genre Popularity</vt:lpstr>
      <vt:lpstr>Game Count Each Year</vt:lpstr>
      <vt:lpstr>Game Price Each Year</vt:lpstr>
      <vt:lpstr>Most Reviewed Games</vt:lpstr>
      <vt:lpstr>Game Price by Dev</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Langston Stewart</dc:creator>
  <cp:lastModifiedBy>Langston Stewart</cp:lastModifiedBy>
  <dcterms:created xsi:type="dcterms:W3CDTF">2026-09-01T00:09:08Z</dcterms:created>
  <dcterms:modified xsi:type="dcterms:W3CDTF">2026-09-03T21:11:44Z</dcterms:modified>
</cp:coreProperties>
</file>